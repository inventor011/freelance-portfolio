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bout" sheetId="1" state="visible" r:id="rId3"/>
    <sheet name="Transactions" sheetId="2" state="visible" r:id="rId4"/>
    <sheet name="Rules" sheetId="3" state="visible" r:id="rId5"/>
    <sheet name="Summary" sheetId="4" state="visible" r:id="rId6"/>
  </sheets>
  <definedNames>
    <definedName function="false" hidden="true" localSheetId="1" name="_xlnm._FilterDatabase" vbProcedure="false">Transactions!$A$1:$G$1001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<sst xmlns="http://schemas.openxmlformats.org/spreadsheetml/2006/main" count="192" uniqueCount="124">
  <si>
    <t xml:space="preserve">SAMPLE / DEMO WORKBOOK - synthetic transactions, not real client data.</t>
  </si>
  <si>
    <t xml:space="preserve">Built by Ayush Kumar as a portfolio sample of rule-based transaction categorization.</t>
  </si>
  <si>
    <t xml:space="preserve">Transactions: paste raw rows into columns A-C; columns D-G tag themselves.</t>
  </si>
  <si>
    <t xml:space="preserve">Rules: keyword -&gt; category table. Edit freely; formulas read the whole range.</t>
  </si>
  <si>
    <t xml:space="preserve">Summary: totals per category, income vs expense, and a count of rows flagged for review.</t>
  </si>
  <si>
    <t xml:space="preserve">Date</t>
  </si>
  <si>
    <t xml:space="preserve">Description</t>
  </si>
  <si>
    <t xml:space="preserve">Amount (₹)</t>
  </si>
  <si>
    <t xml:space="preserve">Category</t>
  </si>
  <si>
    <t xml:space="preserve">Group</t>
  </si>
  <si>
    <t xml:space="preserve">Matched keyword</t>
  </si>
  <si>
    <t xml:space="preserve">Status</t>
  </si>
  <si>
    <t xml:space="preserve">SPOTIFY INDIA</t>
  </si>
  <si>
    <t xml:space="preserve">UPI/RAHUL K/3122</t>
  </si>
  <si>
    <t xml:space="preserve">INTEREST CREDIT SB A/C</t>
  </si>
  <si>
    <t xml:space="preserve">AMAZON SELLER SERVICES 8423</t>
  </si>
  <si>
    <t xml:space="preserve">APOLLO PHARMACY 2768</t>
  </si>
  <si>
    <t xml:space="preserve">NEFT RENT TO LANDLORD</t>
  </si>
  <si>
    <t xml:space="preserve">UPI REFUND FLIPKART 6098</t>
  </si>
  <si>
    <t xml:space="preserve">CHQ DEP 004742</t>
  </si>
  <si>
    <t xml:space="preserve">JIO PREPAID RECHARGE</t>
  </si>
  <si>
    <t xml:space="preserve">NEFT-SALARY ACME TECH PVT LTD</t>
  </si>
  <si>
    <t xml:space="preserve">BESCOM ELECTRICITY BILL 6092</t>
  </si>
  <si>
    <t xml:space="preserve">POS DMART BANGALORE 2485</t>
  </si>
  <si>
    <t xml:space="preserve">FLIPKART INTERNET 8330</t>
  </si>
  <si>
    <t xml:space="preserve">POS DMART BANGALORE 1007</t>
  </si>
  <si>
    <t xml:space="preserve">UPI/ZOMATO ORDER 8234</t>
  </si>
  <si>
    <t xml:space="preserve">ACH HDFC MF SIP 1990</t>
  </si>
  <si>
    <t xml:space="preserve">UPI/OLA CABS/4109</t>
  </si>
  <si>
    <t xml:space="preserve">CHQ DEP 007894</t>
  </si>
  <si>
    <t xml:space="preserve">POS DMART BANGALORE 4906</t>
  </si>
  <si>
    <t xml:space="preserve">CHQ DEP 007740</t>
  </si>
  <si>
    <t xml:space="preserve">APOLLO PHARMACY 9188</t>
  </si>
  <si>
    <t xml:space="preserve">BESCOM ELECTRICITY BILL 7332</t>
  </si>
  <si>
    <t xml:space="preserve">ATM WDL 6224</t>
  </si>
  <si>
    <t xml:space="preserve">UPI/SWIGGY/6108/Order</t>
  </si>
  <si>
    <t xml:space="preserve">UPI/SWIGGY/8425/Order</t>
  </si>
  <si>
    <t xml:space="preserve">UPI/ZOMATO ORDER 9699</t>
  </si>
  <si>
    <t xml:space="preserve">NETFLIX.COM SUBSCRIPTION</t>
  </si>
  <si>
    <t xml:space="preserve">UPI/SWIGGY/2643/Order</t>
  </si>
  <si>
    <t xml:space="preserve">UPI/SWIGGY/5557/Order</t>
  </si>
  <si>
    <t xml:space="preserve">AMAZON SELLER SERVICES 3223</t>
  </si>
  <si>
    <t xml:space="preserve">FLIPKART INTERNET 4050</t>
  </si>
  <si>
    <t xml:space="preserve">ACH HDFC MF SIP 4111</t>
  </si>
  <si>
    <t xml:space="preserve">FLIPKART INTERNET 4220</t>
  </si>
  <si>
    <t xml:space="preserve">ACH HDFC MF SIP 4200</t>
  </si>
  <si>
    <t xml:space="preserve">UPI/BLINKIT/4981</t>
  </si>
  <si>
    <t xml:space="preserve">IRCTC E-TICKET 6389</t>
  </si>
  <si>
    <t xml:space="preserve">UPI/ZOMATO ORDER 2226</t>
  </si>
  <si>
    <t xml:space="preserve">UPI/RAHUL K/1686</t>
  </si>
  <si>
    <t xml:space="preserve">ATM WDL 7511</t>
  </si>
  <si>
    <t xml:space="preserve">POS DMART BANGALORE 2655</t>
  </si>
  <si>
    <t xml:space="preserve">APOLLO PHARMACY 3145</t>
  </si>
  <si>
    <t xml:space="preserve">UPI/FREELANCE PAYMENT/4762</t>
  </si>
  <si>
    <t xml:space="preserve">IRCTC E-TICKET 5983</t>
  </si>
  <si>
    <t xml:space="preserve">UPI/SWIGGY/8976/Order</t>
  </si>
  <si>
    <t xml:space="preserve">ATM WDL 2214</t>
  </si>
  <si>
    <t xml:space="preserve">UPI/BLINKIT/1008</t>
  </si>
  <si>
    <t xml:space="preserve">UPI REFUND FLIPKART 8905</t>
  </si>
  <si>
    <t xml:space="preserve">UPI/ZOMATO ORDER 4963</t>
  </si>
  <si>
    <t xml:space="preserve">IRCTC E-TICKET 4341</t>
  </si>
  <si>
    <t xml:space="preserve">UPI/UBER INDIA/1857</t>
  </si>
  <si>
    <t xml:space="preserve">Keyword (matched anywhere, case-insensitive)</t>
  </si>
  <si>
    <t xml:space="preserve">Expected group</t>
  </si>
  <si>
    <t xml:space="preserve">Notes</t>
  </si>
  <si>
    <t xml:space="preserve">UPI</t>
  </si>
  <si>
    <t xml:space="preserve">Transfers (UPI)</t>
  </si>
  <si>
    <t xml:space="preserve">Expense</t>
  </si>
  <si>
    <t xml:space="preserve">Rule order matters: if several keywords match, the LOWEST matching row wins.</t>
  </si>
  <si>
    <t xml:space="preserve">NEFT</t>
  </si>
  <si>
    <t xml:space="preserve">Bank Transfer</t>
  </si>
  <si>
    <t xml:space="preserve">So keep broad keywords (UPI, NEFT) at the top and specific ones (SWIGGY, SALARY) below.</t>
  </si>
  <si>
    <t xml:space="preserve">ATM</t>
  </si>
  <si>
    <t xml:space="preserve">Cash Withdrawal</t>
  </si>
  <si>
    <t xml:space="preserve">Add a new rule = add a row. No formula changes needed (range is pre-sized to row 200).</t>
  </si>
  <si>
    <t xml:space="preserve">SWIGGY</t>
  </si>
  <si>
    <t xml:space="preserve">Food Delivery</t>
  </si>
  <si>
    <t xml:space="preserve">ZOMATO</t>
  </si>
  <si>
    <t xml:space="preserve">BLINKIT</t>
  </si>
  <si>
    <t xml:space="preserve">Groceries</t>
  </si>
  <si>
    <t xml:space="preserve">BIGBASKET</t>
  </si>
  <si>
    <t xml:space="preserve">DMART</t>
  </si>
  <si>
    <t xml:space="preserve">AMAZON</t>
  </si>
  <si>
    <t xml:space="preserve">Shopping</t>
  </si>
  <si>
    <t xml:space="preserve">FLIPKART</t>
  </si>
  <si>
    <t xml:space="preserve">UBER</t>
  </si>
  <si>
    <t xml:space="preserve">Transport</t>
  </si>
  <si>
    <t xml:space="preserve">OLA</t>
  </si>
  <si>
    <t xml:space="preserve">IRCTC</t>
  </si>
  <si>
    <t xml:space="preserve">Travel</t>
  </si>
  <si>
    <t xml:space="preserve">INDIGO</t>
  </si>
  <si>
    <t xml:space="preserve">NETFLIX</t>
  </si>
  <si>
    <t xml:space="preserve">Subscriptions</t>
  </si>
  <si>
    <t xml:space="preserve">SPOTIFY</t>
  </si>
  <si>
    <t xml:space="preserve">YOUTUBE PREMIUM</t>
  </si>
  <si>
    <t xml:space="preserve">JIO</t>
  </si>
  <si>
    <t xml:space="preserve">Mobile &amp; Internet</t>
  </si>
  <si>
    <t xml:space="preserve">AIRTEL</t>
  </si>
  <si>
    <t xml:space="preserve">BESCOM</t>
  </si>
  <si>
    <t xml:space="preserve">Electricity</t>
  </si>
  <si>
    <t xml:space="preserve">RENT</t>
  </si>
  <si>
    <t xml:space="preserve">Rent</t>
  </si>
  <si>
    <t xml:space="preserve">SIP</t>
  </si>
  <si>
    <t xml:space="preserve">Investments</t>
  </si>
  <si>
    <t xml:space="preserve">ZERODHA</t>
  </si>
  <si>
    <t xml:space="preserve">APOLLO</t>
  </si>
  <si>
    <t xml:space="preserve">Health</t>
  </si>
  <si>
    <t xml:space="preserve">AMAZON PAY CASHBACK</t>
  </si>
  <si>
    <t xml:space="preserve">Cashback</t>
  </si>
  <si>
    <t xml:space="preserve">Income</t>
  </si>
  <si>
    <t xml:space="preserve">SALARY</t>
  </si>
  <si>
    <t xml:space="preserve">Salary</t>
  </si>
  <si>
    <t xml:space="preserve">INTEREST CREDIT</t>
  </si>
  <si>
    <t xml:space="preserve">Interest</t>
  </si>
  <si>
    <t xml:space="preserve">REFUND</t>
  </si>
  <si>
    <t xml:space="preserve">Refunds</t>
  </si>
  <si>
    <t xml:space="preserve">FREELANCE</t>
  </si>
  <si>
    <t xml:space="preserve">Freelance Income</t>
  </si>
  <si>
    <t xml:space="preserve">Total (₹)</t>
  </si>
  <si>
    <t xml:space="preserve"># Transactions</t>
  </si>
  <si>
    <t xml:space="preserve">Uncategorized</t>
  </si>
  <si>
    <t xml:space="preserve">Total income</t>
  </si>
  <si>
    <t xml:space="preserve">Total expense</t>
  </si>
  <si>
    <t xml:space="preserve">Rows needing review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</si>
</sst>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;[RED]\-#,##0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customFormat="false" ht="15" hidden="false" customHeight="false" outlineLevel="0" collapsed="false">
      <c r="A2" s="2" t="n">
        <v>46266</v>
      </c>
      <c r="B2" s="3" t="s">
        <v>12</v>
      </c>
      <c r="C2" s="4" t="n">
        <v>-119</v>
      </c>
      <c r="D2" s="3" t="str">
        <f aca="false">IF($B2="","",IFERROR(LOOKUP(2^15,SEARCH(Rules!$A$2:$A$200&amp;"",$B2)/(Rules!$A$2:$A$200&lt;&gt;""),Rules!$B$2:$B$200),"Uncategorized"))</f>
        <v>Subscriptions</v>
      </c>
      <c r="E2" s="3" t="str">
        <f aca="false">IF($B2="","",IF($C2&gt;=0,"Income","Expense"))</f>
        <v>Expense</v>
      </c>
      <c r="F2" s="3" t="str">
        <f aca="false">IF($B2="","",IFERROR(LOOKUP(2^15,SEARCH(Rules!$A$2:$A$200&amp;"",$B2)/(Rules!$A$2:$A$200&lt;&gt;""),Rules!$A$2:$A$200),""))</f>
        <v>SPOTIFY</v>
      </c>
      <c r="G2" s="3" t="str">
        <f aca="false">IF($B2="","",IF(D2="Uncategorized","⚠ Review",IF(IFERROR(LOOKUP(2^15,SEARCH(Rules!$A$2:$A$200&amp;"",$B2)/(Rules!$A$2:$A$200&lt;&gt;""),Rules!$C$2:$C$200),"")&lt;&gt;E2,"⚠ Check sign","OK")))</f>
        <v>OK</v>
      </c>
    </row>
    <row r="3" customFormat="false" ht="15" hidden="false" customHeight="false" outlineLevel="0" collapsed="false">
      <c r="A3" s="2" t="n">
        <v>46268</v>
      </c>
      <c r="B3" s="3" t="s">
        <v>13</v>
      </c>
      <c r="C3" s="4" t="n">
        <v>-862</v>
      </c>
      <c r="D3" s="3" t="str">
        <f aca="false">IF($B3="","",IFERROR(LOOKUP(2^15,SEARCH(Rules!$A$2:$A$200&amp;"",$B3)/(Rules!$A$2:$A$200&lt;&gt;""),Rules!$B$2:$B$200),"Uncategorized"))</f>
        <v>Transfers (UPI)</v>
      </c>
      <c r="E3" s="3" t="str">
        <f aca="false">IF($B3="","",IF($C3&gt;=0,"Income","Expense"))</f>
        <v>Expense</v>
      </c>
      <c r="F3" s="3" t="str">
        <f aca="false">IF($B3="","",IFERROR(LOOKUP(2^15,SEARCH(Rules!$A$2:$A$200&amp;"",$B3)/(Rules!$A$2:$A$200&lt;&gt;""),Rules!$A$2:$A$200),""))</f>
        <v>UPI</v>
      </c>
      <c r="G3" s="3" t="str">
        <f aca="false">IF($B3="","",IF(D3="Uncategorized","⚠ Review",IF(IFERROR(LOOKUP(2^15,SEARCH(Rules!$A$2:$A$200&amp;"",$B3)/(Rules!$A$2:$A$200&lt;&gt;""),Rules!$C$2:$C$200),"")&lt;&gt;E3,"⚠ Check sign","OK")))</f>
        <v>OK</v>
      </c>
    </row>
    <row r="4" customFormat="false" ht="15" hidden="false" customHeight="false" outlineLevel="0" collapsed="false">
      <c r="A4" s="2" t="n">
        <v>46269</v>
      </c>
      <c r="B4" s="3" t="s">
        <v>14</v>
      </c>
      <c r="C4" s="4" t="n">
        <v>114</v>
      </c>
      <c r="D4" s="3" t="str">
        <f aca="false">IF($B4="","",IFERROR(LOOKUP(2^15,SEARCH(Rules!$A$2:$A$200&amp;"",$B4)/(Rules!$A$2:$A$200&lt;&gt;""),Rules!$B$2:$B$200),"Uncategorized"))</f>
        <v>Interest</v>
      </c>
      <c r="E4" s="3" t="str">
        <f aca="false">IF($B4="","",IF($C4&gt;=0,"Income","Expense"))</f>
        <v>Income</v>
      </c>
      <c r="F4" s="3" t="str">
        <f aca="false">IF($B4="","",IFERROR(LOOKUP(2^15,SEARCH(Rules!$A$2:$A$200&amp;"",$B4)/(Rules!$A$2:$A$200&lt;&gt;""),Rules!$A$2:$A$200),""))</f>
        <v>INTEREST CREDIT</v>
      </c>
      <c r="G4" s="3" t="str">
        <f aca="false">IF($B4="","",IF(D4="Uncategorized","⚠ Review",IF(IFERROR(LOOKUP(2^15,SEARCH(Rules!$A$2:$A$200&amp;"",$B4)/(Rules!$A$2:$A$200&lt;&gt;""),Rules!$C$2:$C$200),"")&lt;&gt;E4,"⚠ Check sign","OK")))</f>
        <v>OK</v>
      </c>
    </row>
    <row r="5" customFormat="false" ht="15" hidden="false" customHeight="false" outlineLevel="0" collapsed="false">
      <c r="A5" s="2" t="n">
        <v>46270</v>
      </c>
      <c r="B5" s="3" t="s">
        <v>15</v>
      </c>
      <c r="C5" s="4" t="n">
        <v>-3998</v>
      </c>
      <c r="D5" s="3" t="str">
        <f aca="false">IF($B5="","",IFERROR(LOOKUP(2^15,SEARCH(Rules!$A$2:$A$200&amp;"",$B5)/(Rules!$A$2:$A$200&lt;&gt;""),Rules!$B$2:$B$200),"Uncategorized"))</f>
        <v>Shopping</v>
      </c>
      <c r="E5" s="3" t="str">
        <f aca="false">IF($B5="","",IF($C5&gt;=0,"Income","Expense"))</f>
        <v>Expense</v>
      </c>
      <c r="F5" s="3" t="str">
        <f aca="false">IF($B5="","",IFERROR(LOOKUP(2^15,SEARCH(Rules!$A$2:$A$200&amp;"",$B5)/(Rules!$A$2:$A$200&lt;&gt;""),Rules!$A$2:$A$200),""))</f>
        <v>AMAZON</v>
      </c>
      <c r="G5" s="3" t="str">
        <f aca="false">IF($B5="","",IF(D5="Uncategorized","⚠ Review",IF(IFERROR(LOOKUP(2^15,SEARCH(Rules!$A$2:$A$200&amp;"",$B5)/(Rules!$A$2:$A$200&lt;&gt;""),Rules!$C$2:$C$200),"")&lt;&gt;E5,"⚠ Check sign","OK")))</f>
        <v>OK</v>
      </c>
    </row>
    <row r="6" customFormat="false" ht="15" hidden="false" customHeight="false" outlineLevel="0" collapsed="false">
      <c r="A6" s="2" t="n">
        <v>46270</v>
      </c>
      <c r="B6" s="3" t="s">
        <v>16</v>
      </c>
      <c r="C6" s="4" t="n">
        <v>-453</v>
      </c>
      <c r="D6" s="3" t="str">
        <f aca="false">IF($B6="","",IFERROR(LOOKUP(2^15,SEARCH(Rules!$A$2:$A$200&amp;"",$B6)/(Rules!$A$2:$A$200&lt;&gt;""),Rules!$B$2:$B$200),"Uncategorized"))</f>
        <v>Health</v>
      </c>
      <c r="E6" s="3" t="str">
        <f aca="false">IF($B6="","",IF($C6&gt;=0,"Income","Expense"))</f>
        <v>Expense</v>
      </c>
      <c r="F6" s="3" t="str">
        <f aca="false">IF($B6="","",IFERROR(LOOKUP(2^15,SEARCH(Rules!$A$2:$A$200&amp;"",$B6)/(Rules!$A$2:$A$200&lt;&gt;""),Rules!$A$2:$A$200),""))</f>
        <v>APOLLO</v>
      </c>
      <c r="G6" s="3" t="str">
        <f aca="false">IF($B6="","",IF(D6="Uncategorized","⚠ Review",IF(IFERROR(LOOKUP(2^15,SEARCH(Rules!$A$2:$A$200&amp;"",$B6)/(Rules!$A$2:$A$200&lt;&gt;""),Rules!$C$2:$C$200),"")&lt;&gt;E6,"⚠ Check sign","OK")))</f>
        <v>OK</v>
      </c>
    </row>
    <row r="7" customFormat="false" ht="15" hidden="false" customHeight="false" outlineLevel="0" collapsed="false">
      <c r="A7" s="2" t="n">
        <v>46270</v>
      </c>
      <c r="B7" s="3" t="s">
        <v>17</v>
      </c>
      <c r="C7" s="4" t="n">
        <v>-15000</v>
      </c>
      <c r="D7" s="3" t="str">
        <f aca="false">IF($B7="","",IFERROR(LOOKUP(2^15,SEARCH(Rules!$A$2:$A$200&amp;"",$B7)/(Rules!$A$2:$A$200&lt;&gt;""),Rules!$B$2:$B$200),"Uncategorized"))</f>
        <v>Rent</v>
      </c>
      <c r="E7" s="3" t="str">
        <f aca="false">IF($B7="","",IF($C7&gt;=0,"Income","Expense"))</f>
        <v>Expense</v>
      </c>
      <c r="F7" s="3" t="str">
        <f aca="false">IF($B7="","",IFERROR(LOOKUP(2^15,SEARCH(Rules!$A$2:$A$200&amp;"",$B7)/(Rules!$A$2:$A$200&lt;&gt;""),Rules!$A$2:$A$200),""))</f>
        <v>RENT</v>
      </c>
      <c r="G7" s="3" t="str">
        <f aca="false">IF($B7="","",IF(D7="Uncategorized","⚠ Review",IF(IFERROR(LOOKUP(2^15,SEARCH(Rules!$A$2:$A$200&amp;"",$B7)/(Rules!$A$2:$A$200&lt;&gt;""),Rules!$C$2:$C$200),"")&lt;&gt;E7,"⚠ Check sign","OK")))</f>
        <v>OK</v>
      </c>
    </row>
    <row r="8" customFormat="false" ht="15" hidden="false" customHeight="false" outlineLevel="0" collapsed="false">
      <c r="A8" s="2" t="n">
        <v>46271</v>
      </c>
      <c r="B8" s="3" t="s">
        <v>18</v>
      </c>
      <c r="C8" s="4" t="n">
        <v>624</v>
      </c>
      <c r="D8" s="3" t="str">
        <f aca="false">IF($B8="","",IFERROR(LOOKUP(2^15,SEARCH(Rules!$A$2:$A$200&amp;"",$B8)/(Rules!$A$2:$A$200&lt;&gt;""),Rules!$B$2:$B$200),"Uncategorized"))</f>
        <v>Refunds</v>
      </c>
      <c r="E8" s="3" t="str">
        <f aca="false">IF($B8="","",IF($C8&gt;=0,"Income","Expense"))</f>
        <v>Income</v>
      </c>
      <c r="F8" s="3" t="str">
        <f aca="false">IF($B8="","",IFERROR(LOOKUP(2^15,SEARCH(Rules!$A$2:$A$200&amp;"",$B8)/(Rules!$A$2:$A$200&lt;&gt;""),Rules!$A$2:$A$200),""))</f>
        <v>REFUND</v>
      </c>
      <c r="G8" s="3" t="str">
        <f aca="false">IF($B8="","",IF(D8="Uncategorized","⚠ Review",IF(IFERROR(LOOKUP(2^15,SEARCH(Rules!$A$2:$A$200&amp;"",$B8)/(Rules!$A$2:$A$200&lt;&gt;""),Rules!$C$2:$C$200),"")&lt;&gt;E8,"⚠ Check sign","OK")))</f>
        <v>OK</v>
      </c>
    </row>
    <row r="9" customFormat="false" ht="15" hidden="false" customHeight="false" outlineLevel="0" collapsed="false">
      <c r="A9" s="2" t="n">
        <v>46274</v>
      </c>
      <c r="B9" s="3" t="s">
        <v>19</v>
      </c>
      <c r="C9" s="4" t="n">
        <v>2954</v>
      </c>
      <c r="D9" s="3" t="str">
        <f aca="false">IF($B9="","",IFERROR(LOOKUP(2^15,SEARCH(Rules!$A$2:$A$200&amp;"",$B9)/(Rules!$A$2:$A$200&lt;&gt;""),Rules!$B$2:$B$200),"Uncategorized"))</f>
        <v>Uncategorized</v>
      </c>
      <c r="E9" s="3" t="str">
        <f aca="false">IF($B9="","",IF($C9&gt;=0,"Income","Expense"))</f>
        <v>Income</v>
      </c>
      <c r="F9" s="3" t="str">
        <f aca="false">IF($B9="","",IFERROR(LOOKUP(2^15,SEARCH(Rules!$A$2:$A$200&amp;"",$B9)/(Rules!$A$2:$A$200&lt;&gt;""),Rules!$A$2:$A$200),""))</f>
        <v/>
      </c>
      <c r="G9" s="3" t="str">
        <f aca="false">IF($B9="","",IF(D9="Uncategorized","⚠ Review",IF(IFERROR(LOOKUP(2^15,SEARCH(Rules!$A$2:$A$200&amp;"",$B9)/(Rules!$A$2:$A$200&lt;&gt;""),Rules!$C$2:$C$200),"")&lt;&gt;E9,"⚠ Check sign","OK")))</f>
        <v>⚠ Review</v>
      </c>
    </row>
    <row r="10" customFormat="false" ht="15" hidden="false" customHeight="false" outlineLevel="0" collapsed="false">
      <c r="A10" s="2" t="n">
        <v>46274</v>
      </c>
      <c r="B10" s="3" t="s">
        <v>20</v>
      </c>
      <c r="C10" s="4" t="n">
        <v>-299</v>
      </c>
      <c r="D10" s="3" t="str">
        <f aca="false">IF($B10="","",IFERROR(LOOKUP(2^15,SEARCH(Rules!$A$2:$A$200&amp;"",$B10)/(Rules!$A$2:$A$200&lt;&gt;""),Rules!$B$2:$B$200),"Uncategorized"))</f>
        <v>Mobile &amp; Internet</v>
      </c>
      <c r="E10" s="3" t="str">
        <f aca="false">IF($B10="","",IF($C10&gt;=0,"Income","Expense"))</f>
        <v>Expense</v>
      </c>
      <c r="F10" s="3" t="str">
        <f aca="false">IF($B10="","",IFERROR(LOOKUP(2^15,SEARCH(Rules!$A$2:$A$200&amp;"",$B10)/(Rules!$A$2:$A$200&lt;&gt;""),Rules!$A$2:$A$200),""))</f>
        <v>JIO</v>
      </c>
      <c r="G10" s="3" t="str">
        <f aca="false">IF($B10="","",IF(D10="Uncategorized","⚠ Review",IF(IFERROR(LOOKUP(2^15,SEARCH(Rules!$A$2:$A$200&amp;"",$B10)/(Rules!$A$2:$A$200&lt;&gt;""),Rules!$C$2:$C$200),"")&lt;&gt;E10,"⚠ Check sign","OK")))</f>
        <v>OK</v>
      </c>
    </row>
    <row r="11" customFormat="false" ht="15" hidden="false" customHeight="false" outlineLevel="0" collapsed="false">
      <c r="A11" s="2" t="n">
        <v>46274</v>
      </c>
      <c r="B11" s="3" t="s">
        <v>21</v>
      </c>
      <c r="C11" s="4" t="n">
        <v>65000</v>
      </c>
      <c r="D11" s="3" t="str">
        <f aca="false">IF($B11="","",IFERROR(LOOKUP(2^15,SEARCH(Rules!$A$2:$A$200&amp;"",$B11)/(Rules!$A$2:$A$200&lt;&gt;""),Rules!$B$2:$B$200),"Uncategorized"))</f>
        <v>Salary</v>
      </c>
      <c r="E11" s="3" t="str">
        <f aca="false">IF($B11="","",IF($C11&gt;=0,"Income","Expense"))</f>
        <v>Income</v>
      </c>
      <c r="F11" s="3" t="str">
        <f aca="false">IF($B11="","",IFERROR(LOOKUP(2^15,SEARCH(Rules!$A$2:$A$200&amp;"",$B11)/(Rules!$A$2:$A$200&lt;&gt;""),Rules!$A$2:$A$200),""))</f>
        <v>SALARY</v>
      </c>
      <c r="G11" s="3" t="str">
        <f aca="false">IF($B11="","",IF(D11="Uncategorized","⚠ Review",IF(IFERROR(LOOKUP(2^15,SEARCH(Rules!$A$2:$A$200&amp;"",$B11)/(Rules!$A$2:$A$200&lt;&gt;""),Rules!$C$2:$C$200),"")&lt;&gt;E11,"⚠ Check sign","OK")))</f>
        <v>OK</v>
      </c>
    </row>
    <row r="12" customFormat="false" ht="15" hidden="false" customHeight="false" outlineLevel="0" collapsed="false">
      <c r="A12" s="2" t="n">
        <v>46274</v>
      </c>
      <c r="B12" s="3" t="s">
        <v>21</v>
      </c>
      <c r="C12" s="4" t="n">
        <v>65000</v>
      </c>
      <c r="D12" s="3" t="str">
        <f aca="false">IF($B12="","",IFERROR(LOOKUP(2^15,SEARCH(Rules!$A$2:$A$200&amp;"",$B12)/(Rules!$A$2:$A$200&lt;&gt;""),Rules!$B$2:$B$200),"Uncategorized"))</f>
        <v>Salary</v>
      </c>
      <c r="E12" s="3" t="str">
        <f aca="false">IF($B12="","",IF($C12&gt;=0,"Income","Expense"))</f>
        <v>Income</v>
      </c>
      <c r="F12" s="3" t="str">
        <f aca="false">IF($B12="","",IFERROR(LOOKUP(2^15,SEARCH(Rules!$A$2:$A$200&amp;"",$B12)/(Rules!$A$2:$A$200&lt;&gt;""),Rules!$A$2:$A$200),""))</f>
        <v>SALARY</v>
      </c>
      <c r="G12" s="3" t="str">
        <f aca="false">IF($B12="","",IF(D12="Uncategorized","⚠ Review",IF(IFERROR(LOOKUP(2^15,SEARCH(Rules!$A$2:$A$200&amp;"",$B12)/(Rules!$A$2:$A$200&lt;&gt;""),Rules!$C$2:$C$200),"")&lt;&gt;E12,"⚠ Check sign","OK")))</f>
        <v>OK</v>
      </c>
    </row>
    <row r="13" customFormat="false" ht="15" hidden="false" customHeight="false" outlineLevel="0" collapsed="false">
      <c r="A13" s="2" t="n">
        <v>46275</v>
      </c>
      <c r="B13" s="3" t="s">
        <v>22</v>
      </c>
      <c r="C13" s="4" t="n">
        <v>-1138</v>
      </c>
      <c r="D13" s="3" t="str">
        <f aca="false">IF($B13="","",IFERROR(LOOKUP(2^15,SEARCH(Rules!$A$2:$A$200&amp;"",$B13)/(Rules!$A$2:$A$200&lt;&gt;""),Rules!$B$2:$B$200),"Uncategorized"))</f>
        <v>Electricity</v>
      </c>
      <c r="E13" s="3" t="str">
        <f aca="false">IF($B13="","",IF($C13&gt;=0,"Income","Expense"))</f>
        <v>Expense</v>
      </c>
      <c r="F13" s="3" t="str">
        <f aca="false">IF($B13="","",IFERROR(LOOKUP(2^15,SEARCH(Rules!$A$2:$A$200&amp;"",$B13)/(Rules!$A$2:$A$200&lt;&gt;""),Rules!$A$2:$A$200),""))</f>
        <v>BESCOM</v>
      </c>
      <c r="G13" s="3" t="str">
        <f aca="false">IF($B13="","",IF(D13="Uncategorized","⚠ Review",IF(IFERROR(LOOKUP(2^15,SEARCH(Rules!$A$2:$A$200&amp;"",$B13)/(Rules!$A$2:$A$200&lt;&gt;""),Rules!$C$2:$C$200),"")&lt;&gt;E13,"⚠ Check sign","OK")))</f>
        <v>OK</v>
      </c>
    </row>
    <row r="14" customFormat="false" ht="15" hidden="false" customHeight="false" outlineLevel="0" collapsed="false">
      <c r="A14" s="2" t="n">
        <v>46275</v>
      </c>
      <c r="B14" s="3" t="s">
        <v>23</v>
      </c>
      <c r="C14" s="4" t="n">
        <v>-2006</v>
      </c>
      <c r="D14" s="3" t="str">
        <f aca="false">IF($B14="","",IFERROR(LOOKUP(2^15,SEARCH(Rules!$A$2:$A$200&amp;"",$B14)/(Rules!$A$2:$A$200&lt;&gt;""),Rules!$B$2:$B$200),"Uncategorized"))</f>
        <v>Groceries</v>
      </c>
      <c r="E14" s="3" t="str">
        <f aca="false">IF($B14="","",IF($C14&gt;=0,"Income","Expense"))</f>
        <v>Expense</v>
      </c>
      <c r="F14" s="3" t="str">
        <f aca="false">IF($B14="","",IFERROR(LOOKUP(2^15,SEARCH(Rules!$A$2:$A$200&amp;"",$B14)/(Rules!$A$2:$A$200&lt;&gt;""),Rules!$A$2:$A$200),""))</f>
        <v>DMART</v>
      </c>
      <c r="G14" s="3" t="str">
        <f aca="false">IF($B14="","",IF(D14="Uncategorized","⚠ Review",IF(IFERROR(LOOKUP(2^15,SEARCH(Rules!$A$2:$A$200&amp;"",$B14)/(Rules!$A$2:$A$200&lt;&gt;""),Rules!$C$2:$C$200),"")&lt;&gt;E14,"⚠ Check sign","OK")))</f>
        <v>OK</v>
      </c>
    </row>
    <row r="15" customFormat="false" ht="15" hidden="false" customHeight="false" outlineLevel="0" collapsed="false">
      <c r="A15" s="2" t="n">
        <v>46278</v>
      </c>
      <c r="B15" s="3" t="s">
        <v>24</v>
      </c>
      <c r="C15" s="4" t="n">
        <v>-4251</v>
      </c>
      <c r="D15" s="3" t="str">
        <f aca="false">IF($B15="","",IFERROR(LOOKUP(2^15,SEARCH(Rules!$A$2:$A$200&amp;"",$B15)/(Rules!$A$2:$A$200&lt;&gt;""),Rules!$B$2:$B$200),"Uncategorized"))</f>
        <v>Shopping</v>
      </c>
      <c r="E15" s="3" t="str">
        <f aca="false">IF($B15="","",IF($C15&gt;=0,"Income","Expense"))</f>
        <v>Expense</v>
      </c>
      <c r="F15" s="3" t="str">
        <f aca="false">IF($B15="","",IFERROR(LOOKUP(2^15,SEARCH(Rules!$A$2:$A$200&amp;"",$B15)/(Rules!$A$2:$A$200&lt;&gt;""),Rules!$A$2:$A$200),""))</f>
        <v>FLIPKART</v>
      </c>
      <c r="G15" s="3" t="str">
        <f aca="false">IF($B15="","",IF(D15="Uncategorized","⚠ Review",IF(IFERROR(LOOKUP(2^15,SEARCH(Rules!$A$2:$A$200&amp;"",$B15)/(Rules!$A$2:$A$200&lt;&gt;""),Rules!$C$2:$C$200),"")&lt;&gt;E15,"⚠ Check sign","OK")))</f>
        <v>OK</v>
      </c>
    </row>
    <row r="16" customFormat="false" ht="15" hidden="false" customHeight="false" outlineLevel="0" collapsed="false">
      <c r="A16" s="2" t="n">
        <v>46279</v>
      </c>
      <c r="B16" s="3" t="s">
        <v>25</v>
      </c>
      <c r="C16" s="4" t="n">
        <v>-1866</v>
      </c>
      <c r="D16" s="3" t="str">
        <f aca="false">IF($B16="","",IFERROR(LOOKUP(2^15,SEARCH(Rules!$A$2:$A$200&amp;"",$B16)/(Rules!$A$2:$A$200&lt;&gt;""),Rules!$B$2:$B$200),"Uncategorized"))</f>
        <v>Groceries</v>
      </c>
      <c r="E16" s="3" t="str">
        <f aca="false">IF($B16="","",IF($C16&gt;=0,"Income","Expense"))</f>
        <v>Expense</v>
      </c>
      <c r="F16" s="3" t="str">
        <f aca="false">IF($B16="","",IFERROR(LOOKUP(2^15,SEARCH(Rules!$A$2:$A$200&amp;"",$B16)/(Rules!$A$2:$A$200&lt;&gt;""),Rules!$A$2:$A$200),""))</f>
        <v>DMART</v>
      </c>
      <c r="G16" s="3" t="str">
        <f aca="false">IF($B16="","",IF(D16="Uncategorized","⚠ Review",IF(IFERROR(LOOKUP(2^15,SEARCH(Rules!$A$2:$A$200&amp;"",$B16)/(Rules!$A$2:$A$200&lt;&gt;""),Rules!$C$2:$C$200),"")&lt;&gt;E16,"⚠ Check sign","OK")))</f>
        <v>OK</v>
      </c>
    </row>
    <row r="17" customFormat="false" ht="15" hidden="false" customHeight="false" outlineLevel="0" collapsed="false">
      <c r="A17" s="2" t="n">
        <v>46279</v>
      </c>
      <c r="B17" s="3" t="s">
        <v>26</v>
      </c>
      <c r="C17" s="4" t="n">
        <v>-694</v>
      </c>
      <c r="D17" s="3" t="str">
        <f aca="false">IF($B17="","",IFERROR(LOOKUP(2^15,SEARCH(Rules!$A$2:$A$200&amp;"",$B17)/(Rules!$A$2:$A$200&lt;&gt;""),Rules!$B$2:$B$200),"Uncategorized"))</f>
        <v>Food Delivery</v>
      </c>
      <c r="E17" s="3" t="str">
        <f aca="false">IF($B17="","",IF($C17&gt;=0,"Income","Expense"))</f>
        <v>Expense</v>
      </c>
      <c r="F17" s="3" t="str">
        <f aca="false">IF($B17="","",IFERROR(LOOKUP(2^15,SEARCH(Rules!$A$2:$A$200&amp;"",$B17)/(Rules!$A$2:$A$200&lt;&gt;""),Rules!$A$2:$A$200),""))</f>
        <v>ZOMATO</v>
      </c>
      <c r="G17" s="3" t="str">
        <f aca="false">IF($B17="","",IF(D17="Uncategorized","⚠ Review",IF(IFERROR(LOOKUP(2^15,SEARCH(Rules!$A$2:$A$200&amp;"",$B17)/(Rules!$A$2:$A$200&lt;&gt;""),Rules!$C$2:$C$200),"")&lt;&gt;E17,"⚠ Check sign","OK")))</f>
        <v>OK</v>
      </c>
    </row>
    <row r="18" customFormat="false" ht="15" hidden="false" customHeight="false" outlineLevel="0" collapsed="false">
      <c r="A18" s="2" t="n">
        <v>46281</v>
      </c>
      <c r="B18" s="3" t="s">
        <v>27</v>
      </c>
      <c r="C18" s="4" t="n">
        <v>-5000</v>
      </c>
      <c r="D18" s="3" t="str">
        <f aca="false">IF($B18="","",IFERROR(LOOKUP(2^15,SEARCH(Rules!$A$2:$A$200&amp;"",$B18)/(Rules!$A$2:$A$200&lt;&gt;""),Rules!$B$2:$B$200),"Uncategorized"))</f>
        <v>Investments</v>
      </c>
      <c r="E18" s="3" t="str">
        <f aca="false">IF($B18="","",IF($C18&gt;=0,"Income","Expense"))</f>
        <v>Expense</v>
      </c>
      <c r="F18" s="3" t="str">
        <f aca="false">IF($B18="","",IFERROR(LOOKUP(2^15,SEARCH(Rules!$A$2:$A$200&amp;"",$B18)/(Rules!$A$2:$A$200&lt;&gt;""),Rules!$A$2:$A$200),""))</f>
        <v>SIP</v>
      </c>
      <c r="G18" s="3" t="str">
        <f aca="false">IF($B18="","",IF(D18="Uncategorized","⚠ Review",IF(IFERROR(LOOKUP(2^15,SEARCH(Rules!$A$2:$A$200&amp;"",$B18)/(Rules!$A$2:$A$200&lt;&gt;""),Rules!$C$2:$C$200),"")&lt;&gt;E18,"⚠ Check sign","OK")))</f>
        <v>OK</v>
      </c>
    </row>
    <row r="19" customFormat="false" ht="15" hidden="false" customHeight="false" outlineLevel="0" collapsed="false">
      <c r="A19" s="2" t="n">
        <v>46281</v>
      </c>
      <c r="B19" s="3" t="s">
        <v>28</v>
      </c>
      <c r="C19" s="4" t="n">
        <v>-427</v>
      </c>
      <c r="D19" s="3" t="str">
        <f aca="false">IF($B19="","",IFERROR(LOOKUP(2^15,SEARCH(Rules!$A$2:$A$200&amp;"",$B19)/(Rules!$A$2:$A$200&lt;&gt;""),Rules!$B$2:$B$200),"Uncategorized"))</f>
        <v>Transport</v>
      </c>
      <c r="E19" s="3" t="str">
        <f aca="false">IF($B19="","",IF($C19&gt;=0,"Income","Expense"))</f>
        <v>Expense</v>
      </c>
      <c r="F19" s="3" t="str">
        <f aca="false">IF($B19="","",IFERROR(LOOKUP(2^15,SEARCH(Rules!$A$2:$A$200&amp;"",$B19)/(Rules!$A$2:$A$200&lt;&gt;""),Rules!$A$2:$A$200),""))</f>
        <v>OLA</v>
      </c>
      <c r="G19" s="3" t="str">
        <f aca="false">IF($B19="","",IF(D19="Uncategorized","⚠ Review",IF(IFERROR(LOOKUP(2^15,SEARCH(Rules!$A$2:$A$200&amp;"",$B19)/(Rules!$A$2:$A$200&lt;&gt;""),Rules!$C$2:$C$200),"")&lt;&gt;E19,"⚠ Check sign","OK")))</f>
        <v>OK</v>
      </c>
    </row>
    <row r="20" customFormat="false" ht="15" hidden="false" customHeight="false" outlineLevel="0" collapsed="false">
      <c r="A20" s="2" t="n">
        <v>46282</v>
      </c>
      <c r="B20" s="3" t="s">
        <v>29</v>
      </c>
      <c r="C20" s="4" t="n">
        <v>2409</v>
      </c>
      <c r="D20" s="3" t="str">
        <f aca="false">IF($B20="","",IFERROR(LOOKUP(2^15,SEARCH(Rules!$A$2:$A$200&amp;"",$B20)/(Rules!$A$2:$A$200&lt;&gt;""),Rules!$B$2:$B$200),"Uncategorized"))</f>
        <v>Uncategorized</v>
      </c>
      <c r="E20" s="3" t="str">
        <f aca="false">IF($B20="","",IF($C20&gt;=0,"Income","Expense"))</f>
        <v>Income</v>
      </c>
      <c r="F20" s="3" t="str">
        <f aca="false">IF($B20="","",IFERROR(LOOKUP(2^15,SEARCH(Rules!$A$2:$A$200&amp;"",$B20)/(Rules!$A$2:$A$200&lt;&gt;""),Rules!$A$2:$A$200),""))</f>
        <v/>
      </c>
      <c r="G20" s="3" t="str">
        <f aca="false">IF($B20="","",IF(D20="Uncategorized","⚠ Review",IF(IFERROR(LOOKUP(2^15,SEARCH(Rules!$A$2:$A$200&amp;"",$B20)/(Rules!$A$2:$A$200&lt;&gt;""),Rules!$C$2:$C$200),"")&lt;&gt;E20,"⚠ Check sign","OK")))</f>
        <v>⚠ Review</v>
      </c>
    </row>
    <row r="21" customFormat="false" ht="15" hidden="false" customHeight="false" outlineLevel="0" collapsed="false">
      <c r="A21" s="2" t="n">
        <v>46282</v>
      </c>
      <c r="B21" s="3" t="s">
        <v>30</v>
      </c>
      <c r="C21" s="4" t="n">
        <v>-904</v>
      </c>
      <c r="D21" s="3" t="str">
        <f aca="false">IF($B21="","",IFERROR(LOOKUP(2^15,SEARCH(Rules!$A$2:$A$200&amp;"",$B21)/(Rules!$A$2:$A$200&lt;&gt;""),Rules!$B$2:$B$200),"Uncategorized"))</f>
        <v>Groceries</v>
      </c>
      <c r="E21" s="3" t="str">
        <f aca="false">IF($B21="","",IF($C21&gt;=0,"Income","Expense"))</f>
        <v>Expense</v>
      </c>
      <c r="F21" s="3" t="str">
        <f aca="false">IF($B21="","",IFERROR(LOOKUP(2^15,SEARCH(Rules!$A$2:$A$200&amp;"",$B21)/(Rules!$A$2:$A$200&lt;&gt;""),Rules!$A$2:$A$200),""))</f>
        <v>DMART</v>
      </c>
      <c r="G21" s="3" t="str">
        <f aca="false">IF($B21="","",IF(D21="Uncategorized","⚠ Review",IF(IFERROR(LOOKUP(2^15,SEARCH(Rules!$A$2:$A$200&amp;"",$B21)/(Rules!$A$2:$A$200&lt;&gt;""),Rules!$C$2:$C$200),"")&lt;&gt;E21,"⚠ Check sign","OK")))</f>
        <v>OK</v>
      </c>
    </row>
    <row r="22" customFormat="false" ht="15" hidden="false" customHeight="false" outlineLevel="0" collapsed="false">
      <c r="A22" s="2" t="n">
        <v>46283</v>
      </c>
      <c r="B22" s="3" t="s">
        <v>31</v>
      </c>
      <c r="C22" s="4" t="n">
        <v>1033</v>
      </c>
      <c r="D22" s="3" t="str">
        <f aca="false">IF($B22="","",IFERROR(LOOKUP(2^15,SEARCH(Rules!$A$2:$A$200&amp;"",$B22)/(Rules!$A$2:$A$200&lt;&gt;""),Rules!$B$2:$B$200),"Uncategorized"))</f>
        <v>Uncategorized</v>
      </c>
      <c r="E22" s="3" t="str">
        <f aca="false">IF($B22="","",IF($C22&gt;=0,"Income","Expense"))</f>
        <v>Income</v>
      </c>
      <c r="F22" s="3" t="str">
        <f aca="false">IF($B22="","",IFERROR(LOOKUP(2^15,SEARCH(Rules!$A$2:$A$200&amp;"",$B22)/(Rules!$A$2:$A$200&lt;&gt;""),Rules!$A$2:$A$200),""))</f>
        <v/>
      </c>
      <c r="G22" s="3" t="str">
        <f aca="false">IF($B22="","",IF(D22="Uncategorized","⚠ Review",IF(IFERROR(LOOKUP(2^15,SEARCH(Rules!$A$2:$A$200&amp;"",$B22)/(Rules!$A$2:$A$200&lt;&gt;""),Rules!$C$2:$C$200),"")&lt;&gt;E22,"⚠ Check sign","OK")))</f>
        <v>⚠ Review</v>
      </c>
    </row>
    <row r="23" customFormat="false" ht="15" hidden="false" customHeight="false" outlineLevel="0" collapsed="false">
      <c r="A23" s="2" t="n">
        <v>46284</v>
      </c>
      <c r="B23" s="3" t="s">
        <v>32</v>
      </c>
      <c r="C23" s="4" t="n">
        <v>-395</v>
      </c>
      <c r="D23" s="3" t="str">
        <f aca="false">IF($B23="","",IFERROR(LOOKUP(2^15,SEARCH(Rules!$A$2:$A$200&amp;"",$B23)/(Rules!$A$2:$A$200&lt;&gt;""),Rules!$B$2:$B$200),"Uncategorized"))</f>
        <v>Health</v>
      </c>
      <c r="E23" s="3" t="str">
        <f aca="false">IF($B23="","",IF($C23&gt;=0,"Income","Expense"))</f>
        <v>Expense</v>
      </c>
      <c r="F23" s="3" t="str">
        <f aca="false">IF($B23="","",IFERROR(LOOKUP(2^15,SEARCH(Rules!$A$2:$A$200&amp;"",$B23)/(Rules!$A$2:$A$200&lt;&gt;""),Rules!$A$2:$A$200),""))</f>
        <v>APOLLO</v>
      </c>
      <c r="G23" s="3" t="str">
        <f aca="false">IF($B23="","",IF(D23="Uncategorized","⚠ Review",IF(IFERROR(LOOKUP(2^15,SEARCH(Rules!$A$2:$A$200&amp;"",$B23)/(Rules!$A$2:$A$200&lt;&gt;""),Rules!$C$2:$C$200),"")&lt;&gt;E23,"⚠ Check sign","OK")))</f>
        <v>OK</v>
      </c>
    </row>
    <row r="24" customFormat="false" ht="15" hidden="false" customHeight="false" outlineLevel="0" collapsed="false">
      <c r="A24" s="2" t="n">
        <v>46284</v>
      </c>
      <c r="B24" s="3" t="s">
        <v>33</v>
      </c>
      <c r="C24" s="4" t="n">
        <v>-1040</v>
      </c>
      <c r="D24" s="3" t="str">
        <f aca="false">IF($B24="","",IFERROR(LOOKUP(2^15,SEARCH(Rules!$A$2:$A$200&amp;"",$B24)/(Rules!$A$2:$A$200&lt;&gt;""),Rules!$B$2:$B$200),"Uncategorized"))</f>
        <v>Electricity</v>
      </c>
      <c r="E24" s="3" t="str">
        <f aca="false">IF($B24="","",IF($C24&gt;=0,"Income","Expense"))</f>
        <v>Expense</v>
      </c>
      <c r="F24" s="3" t="str">
        <f aca="false">IF($B24="","",IFERROR(LOOKUP(2^15,SEARCH(Rules!$A$2:$A$200&amp;"",$B24)/(Rules!$A$2:$A$200&lt;&gt;""),Rules!$A$2:$A$200),""))</f>
        <v>BESCOM</v>
      </c>
      <c r="G24" s="3" t="str">
        <f aca="false">IF($B24="","",IF(D24="Uncategorized","⚠ Review",IF(IFERROR(LOOKUP(2^15,SEARCH(Rules!$A$2:$A$200&amp;"",$B24)/(Rules!$A$2:$A$200&lt;&gt;""),Rules!$C$2:$C$200),"")&lt;&gt;E24,"⚠ Check sign","OK")))</f>
        <v>OK</v>
      </c>
    </row>
    <row r="25" customFormat="false" ht="15" hidden="false" customHeight="false" outlineLevel="0" collapsed="false">
      <c r="A25" s="2" t="n">
        <v>46285</v>
      </c>
      <c r="B25" s="3" t="s">
        <v>34</v>
      </c>
      <c r="C25" s="4" t="n">
        <v>-2202</v>
      </c>
      <c r="D25" s="3" t="str">
        <f aca="false">IF($B25="","",IFERROR(LOOKUP(2^15,SEARCH(Rules!$A$2:$A$200&amp;"",$B25)/(Rules!$A$2:$A$200&lt;&gt;""),Rules!$B$2:$B$200),"Uncategorized"))</f>
        <v>Cash Withdrawal</v>
      </c>
      <c r="E25" s="3" t="str">
        <f aca="false">IF($B25="","",IF($C25&gt;=0,"Income","Expense"))</f>
        <v>Expense</v>
      </c>
      <c r="F25" s="3" t="str">
        <f aca="false">IF($B25="","",IFERROR(LOOKUP(2^15,SEARCH(Rules!$A$2:$A$200&amp;"",$B25)/(Rules!$A$2:$A$200&lt;&gt;""),Rules!$A$2:$A$200),""))</f>
        <v>ATM</v>
      </c>
      <c r="G25" s="3" t="str">
        <f aca="false">IF($B25="","",IF(D25="Uncategorized","⚠ Review",IF(IFERROR(LOOKUP(2^15,SEARCH(Rules!$A$2:$A$200&amp;"",$B25)/(Rules!$A$2:$A$200&lt;&gt;""),Rules!$C$2:$C$200),"")&lt;&gt;E25,"⚠ Check sign","OK")))</f>
        <v>OK</v>
      </c>
    </row>
    <row r="26" customFormat="false" ht="15" hidden="false" customHeight="false" outlineLevel="0" collapsed="false">
      <c r="A26" s="2" t="n">
        <v>46288</v>
      </c>
      <c r="B26" s="3" t="s">
        <v>12</v>
      </c>
      <c r="C26" s="4" t="n">
        <v>-119</v>
      </c>
      <c r="D26" s="3" t="str">
        <f aca="false">IF($B26="","",IFERROR(LOOKUP(2^15,SEARCH(Rules!$A$2:$A$200&amp;"",$B26)/(Rules!$A$2:$A$200&lt;&gt;""),Rules!$B$2:$B$200),"Uncategorized"))</f>
        <v>Subscriptions</v>
      </c>
      <c r="E26" s="3" t="str">
        <f aca="false">IF($B26="","",IF($C26&gt;=0,"Income","Expense"))</f>
        <v>Expense</v>
      </c>
      <c r="F26" s="3" t="str">
        <f aca="false">IF($B26="","",IFERROR(LOOKUP(2^15,SEARCH(Rules!$A$2:$A$200&amp;"",$B26)/(Rules!$A$2:$A$200&lt;&gt;""),Rules!$A$2:$A$200),""))</f>
        <v>SPOTIFY</v>
      </c>
      <c r="G26" s="3" t="str">
        <f aca="false">IF($B26="","",IF(D26="Uncategorized","⚠ Review",IF(IFERROR(LOOKUP(2^15,SEARCH(Rules!$A$2:$A$200&amp;"",$B26)/(Rules!$A$2:$A$200&lt;&gt;""),Rules!$C$2:$C$200),"")&lt;&gt;E26,"⚠ Check sign","OK")))</f>
        <v>OK</v>
      </c>
    </row>
    <row r="27" customFormat="false" ht="15" hidden="false" customHeight="false" outlineLevel="0" collapsed="false">
      <c r="A27" s="2" t="n">
        <v>46288</v>
      </c>
      <c r="B27" s="3" t="s">
        <v>35</v>
      </c>
      <c r="C27" s="4" t="n">
        <v>-403</v>
      </c>
      <c r="D27" s="3" t="str">
        <f aca="false">IF($B27="","",IFERROR(LOOKUP(2^15,SEARCH(Rules!$A$2:$A$200&amp;"",$B27)/(Rules!$A$2:$A$200&lt;&gt;""),Rules!$B$2:$B$200),"Uncategorized"))</f>
        <v>Food Delivery</v>
      </c>
      <c r="E27" s="3" t="str">
        <f aca="false">IF($B27="","",IF($C27&gt;=0,"Income","Expense"))</f>
        <v>Expense</v>
      </c>
      <c r="F27" s="3" t="str">
        <f aca="false">IF($B27="","",IFERROR(LOOKUP(2^15,SEARCH(Rules!$A$2:$A$200&amp;"",$B27)/(Rules!$A$2:$A$200&lt;&gt;""),Rules!$A$2:$A$200),""))</f>
        <v>SWIGGY</v>
      </c>
      <c r="G27" s="3" t="str">
        <f aca="false">IF($B27="","",IF(D27="Uncategorized","⚠ Review",IF(IFERROR(LOOKUP(2^15,SEARCH(Rules!$A$2:$A$200&amp;"",$B27)/(Rules!$A$2:$A$200&lt;&gt;""),Rules!$C$2:$C$200),"")&lt;&gt;E27,"⚠ Check sign","OK")))</f>
        <v>OK</v>
      </c>
    </row>
    <row r="28" customFormat="false" ht="15" hidden="false" customHeight="false" outlineLevel="0" collapsed="false">
      <c r="A28" s="2" t="n">
        <v>46289</v>
      </c>
      <c r="B28" s="3" t="s">
        <v>36</v>
      </c>
      <c r="C28" s="4" t="n">
        <v>-463</v>
      </c>
      <c r="D28" s="3" t="str">
        <f aca="false">IF($B28="","",IFERROR(LOOKUP(2^15,SEARCH(Rules!$A$2:$A$200&amp;"",$B28)/(Rules!$A$2:$A$200&lt;&gt;""),Rules!$B$2:$B$200),"Uncategorized"))</f>
        <v>Food Delivery</v>
      </c>
      <c r="E28" s="3" t="str">
        <f aca="false">IF($B28="","",IF($C28&gt;=0,"Income","Expense"))</f>
        <v>Expense</v>
      </c>
      <c r="F28" s="3" t="str">
        <f aca="false">IF($B28="","",IFERROR(LOOKUP(2^15,SEARCH(Rules!$A$2:$A$200&amp;"",$B28)/(Rules!$A$2:$A$200&lt;&gt;""),Rules!$A$2:$A$200),""))</f>
        <v>SWIGGY</v>
      </c>
      <c r="G28" s="3" t="str">
        <f aca="false">IF($B28="","",IF(D28="Uncategorized","⚠ Review",IF(IFERROR(LOOKUP(2^15,SEARCH(Rules!$A$2:$A$200&amp;"",$B28)/(Rules!$A$2:$A$200&lt;&gt;""),Rules!$C$2:$C$200),"")&lt;&gt;E28,"⚠ Check sign","OK")))</f>
        <v>OK</v>
      </c>
    </row>
    <row r="29" customFormat="false" ht="15" hidden="false" customHeight="false" outlineLevel="0" collapsed="false">
      <c r="A29" s="2" t="n">
        <v>46289</v>
      </c>
      <c r="B29" s="3" t="s">
        <v>37</v>
      </c>
      <c r="C29" s="4" t="n">
        <v>-247</v>
      </c>
      <c r="D29" s="3" t="str">
        <f aca="false">IF($B29="","",IFERROR(LOOKUP(2^15,SEARCH(Rules!$A$2:$A$200&amp;"",$B29)/(Rules!$A$2:$A$200&lt;&gt;""),Rules!$B$2:$B$200),"Uncategorized"))</f>
        <v>Food Delivery</v>
      </c>
      <c r="E29" s="3" t="str">
        <f aca="false">IF($B29="","",IF($C29&gt;=0,"Income","Expense"))</f>
        <v>Expense</v>
      </c>
      <c r="F29" s="3" t="str">
        <f aca="false">IF($B29="","",IFERROR(LOOKUP(2^15,SEARCH(Rules!$A$2:$A$200&amp;"",$B29)/(Rules!$A$2:$A$200&lt;&gt;""),Rules!$A$2:$A$200),""))</f>
        <v>ZOMATO</v>
      </c>
      <c r="G29" s="3" t="str">
        <f aca="false">IF($B29="","",IF(D29="Uncategorized","⚠ Review",IF(IFERROR(LOOKUP(2^15,SEARCH(Rules!$A$2:$A$200&amp;"",$B29)/(Rules!$A$2:$A$200&lt;&gt;""),Rules!$C$2:$C$200),"")&lt;&gt;E29,"⚠ Check sign","OK")))</f>
        <v>OK</v>
      </c>
    </row>
    <row r="30" customFormat="false" ht="15" hidden="false" customHeight="false" outlineLevel="0" collapsed="false">
      <c r="A30" s="2" t="n">
        <v>46290</v>
      </c>
      <c r="B30" s="3" t="s">
        <v>38</v>
      </c>
      <c r="C30" s="4" t="n">
        <v>-199</v>
      </c>
      <c r="D30" s="3" t="str">
        <f aca="false">IF($B30="","",IFERROR(LOOKUP(2^15,SEARCH(Rules!$A$2:$A$200&amp;"",$B30)/(Rules!$A$2:$A$200&lt;&gt;""),Rules!$B$2:$B$200),"Uncategorized"))</f>
        <v>Subscriptions</v>
      </c>
      <c r="E30" s="3" t="str">
        <f aca="false">IF($B30="","",IF($C30&gt;=0,"Income","Expense"))</f>
        <v>Expense</v>
      </c>
      <c r="F30" s="3" t="str">
        <f aca="false">IF($B30="","",IFERROR(LOOKUP(2^15,SEARCH(Rules!$A$2:$A$200&amp;"",$B30)/(Rules!$A$2:$A$200&lt;&gt;""),Rules!$A$2:$A$200),""))</f>
        <v>NETFLIX</v>
      </c>
      <c r="G30" s="3" t="str">
        <f aca="false">IF($B30="","",IF(D30="Uncategorized","⚠ Review",IF(IFERROR(LOOKUP(2^15,SEARCH(Rules!$A$2:$A$200&amp;"",$B30)/(Rules!$A$2:$A$200&lt;&gt;""),Rules!$C$2:$C$200),"")&lt;&gt;E30,"⚠ Check sign","OK")))</f>
        <v>OK</v>
      </c>
    </row>
    <row r="31" customFormat="false" ht="15" hidden="false" customHeight="false" outlineLevel="0" collapsed="false">
      <c r="A31" s="2" t="n">
        <v>46291</v>
      </c>
      <c r="B31" s="3" t="s">
        <v>39</v>
      </c>
      <c r="C31" s="4" t="n">
        <v>-279</v>
      </c>
      <c r="D31" s="3" t="str">
        <f aca="false">IF($B31="","",IFERROR(LOOKUP(2^15,SEARCH(Rules!$A$2:$A$200&amp;"",$B31)/(Rules!$A$2:$A$200&lt;&gt;""),Rules!$B$2:$B$200),"Uncategorized"))</f>
        <v>Food Delivery</v>
      </c>
      <c r="E31" s="3" t="str">
        <f aca="false">IF($B31="","",IF($C31&gt;=0,"Income","Expense"))</f>
        <v>Expense</v>
      </c>
      <c r="F31" s="3" t="str">
        <f aca="false">IF($B31="","",IFERROR(LOOKUP(2^15,SEARCH(Rules!$A$2:$A$200&amp;"",$B31)/(Rules!$A$2:$A$200&lt;&gt;""),Rules!$A$2:$A$200),""))</f>
        <v>SWIGGY</v>
      </c>
      <c r="G31" s="3" t="str">
        <f aca="false">IF($B31="","",IF(D31="Uncategorized","⚠ Review",IF(IFERROR(LOOKUP(2^15,SEARCH(Rules!$A$2:$A$200&amp;"",$B31)/(Rules!$A$2:$A$200&lt;&gt;""),Rules!$C$2:$C$200),"")&lt;&gt;E31,"⚠ Check sign","OK")))</f>
        <v>OK</v>
      </c>
    </row>
    <row r="32" customFormat="false" ht="15" hidden="false" customHeight="false" outlineLevel="0" collapsed="false">
      <c r="A32" s="2" t="n">
        <v>46294</v>
      </c>
      <c r="B32" s="3" t="s">
        <v>14</v>
      </c>
      <c r="C32" s="4" t="n">
        <v>159</v>
      </c>
      <c r="D32" s="3" t="str">
        <f aca="false">IF($B32="","",IFERROR(LOOKUP(2^15,SEARCH(Rules!$A$2:$A$200&amp;"",$B32)/(Rules!$A$2:$A$200&lt;&gt;""),Rules!$B$2:$B$200),"Uncategorized"))</f>
        <v>Interest</v>
      </c>
      <c r="E32" s="3" t="str">
        <f aca="false">IF($B32="","",IF($C32&gt;=0,"Income","Expense"))</f>
        <v>Income</v>
      </c>
      <c r="F32" s="3" t="str">
        <f aca="false">IF($B32="","",IFERROR(LOOKUP(2^15,SEARCH(Rules!$A$2:$A$200&amp;"",$B32)/(Rules!$A$2:$A$200&lt;&gt;""),Rules!$A$2:$A$200),""))</f>
        <v>INTEREST CREDIT</v>
      </c>
      <c r="G32" s="3" t="str">
        <f aca="false">IF($B32="","",IF(D32="Uncategorized","⚠ Review",IF(IFERROR(LOOKUP(2^15,SEARCH(Rules!$A$2:$A$200&amp;"",$B32)/(Rules!$A$2:$A$200&lt;&gt;""),Rules!$C$2:$C$200),"")&lt;&gt;E32,"⚠ Check sign","OK")))</f>
        <v>OK</v>
      </c>
    </row>
    <row r="33" customFormat="false" ht="15" hidden="false" customHeight="false" outlineLevel="0" collapsed="false">
      <c r="A33" s="2" t="n">
        <v>46295</v>
      </c>
      <c r="B33" s="3" t="s">
        <v>14</v>
      </c>
      <c r="C33" s="4" t="n">
        <v>112</v>
      </c>
      <c r="D33" s="3" t="str">
        <f aca="false">IF($B33="","",IFERROR(LOOKUP(2^15,SEARCH(Rules!$A$2:$A$200&amp;"",$B33)/(Rules!$A$2:$A$200&lt;&gt;""),Rules!$B$2:$B$200),"Uncategorized"))</f>
        <v>Interest</v>
      </c>
      <c r="E33" s="3" t="str">
        <f aca="false">IF($B33="","",IF($C33&gt;=0,"Income","Expense"))</f>
        <v>Income</v>
      </c>
      <c r="F33" s="3" t="str">
        <f aca="false">IF($B33="","",IFERROR(LOOKUP(2^15,SEARCH(Rules!$A$2:$A$200&amp;"",$B33)/(Rules!$A$2:$A$200&lt;&gt;""),Rules!$A$2:$A$200),""))</f>
        <v>INTEREST CREDIT</v>
      </c>
      <c r="G33" s="3" t="str">
        <f aca="false">IF($B33="","",IF(D33="Uncategorized","⚠ Review",IF(IFERROR(LOOKUP(2^15,SEARCH(Rules!$A$2:$A$200&amp;"",$B33)/(Rules!$A$2:$A$200&lt;&gt;""),Rules!$C$2:$C$200),"")&lt;&gt;E33,"⚠ Check sign","OK")))</f>
        <v>OK</v>
      </c>
    </row>
    <row r="34" customFormat="false" ht="15" hidden="false" customHeight="false" outlineLevel="0" collapsed="false">
      <c r="A34" s="2" t="n">
        <v>46295</v>
      </c>
      <c r="B34" s="3" t="s">
        <v>40</v>
      </c>
      <c r="C34" s="4" t="n">
        <v>-491</v>
      </c>
      <c r="D34" s="3" t="str">
        <f aca="false">IF($B34="","",IFERROR(LOOKUP(2^15,SEARCH(Rules!$A$2:$A$200&amp;"",$B34)/(Rules!$A$2:$A$200&lt;&gt;""),Rules!$B$2:$B$200),"Uncategorized"))</f>
        <v>Food Delivery</v>
      </c>
      <c r="E34" s="3" t="str">
        <f aca="false">IF($B34="","",IF($C34&gt;=0,"Income","Expense"))</f>
        <v>Expense</v>
      </c>
      <c r="F34" s="3" t="str">
        <f aca="false">IF($B34="","",IFERROR(LOOKUP(2^15,SEARCH(Rules!$A$2:$A$200&amp;"",$B34)/(Rules!$A$2:$A$200&lt;&gt;""),Rules!$A$2:$A$200),""))</f>
        <v>SWIGGY</v>
      </c>
      <c r="G34" s="3" t="str">
        <f aca="false">IF($B34="","",IF(D34="Uncategorized","⚠ Review",IF(IFERROR(LOOKUP(2^15,SEARCH(Rules!$A$2:$A$200&amp;"",$B34)/(Rules!$A$2:$A$200&lt;&gt;""),Rules!$C$2:$C$200),"")&lt;&gt;E34,"⚠ Check sign","OK")))</f>
        <v>OK</v>
      </c>
    </row>
    <row r="35" customFormat="false" ht="15" hidden="false" customHeight="false" outlineLevel="0" collapsed="false">
      <c r="A35" s="2" t="n">
        <v>46296</v>
      </c>
      <c r="B35" s="3" t="s">
        <v>41</v>
      </c>
      <c r="C35" s="4" t="n">
        <v>-3849</v>
      </c>
      <c r="D35" s="3" t="str">
        <f aca="false">IF($B35="","",IFERROR(LOOKUP(2^15,SEARCH(Rules!$A$2:$A$200&amp;"",$B35)/(Rules!$A$2:$A$200&lt;&gt;""),Rules!$B$2:$B$200),"Uncategorized"))</f>
        <v>Shopping</v>
      </c>
      <c r="E35" s="3" t="str">
        <f aca="false">IF($B35="","",IF($C35&gt;=0,"Income","Expense"))</f>
        <v>Expense</v>
      </c>
      <c r="F35" s="3" t="str">
        <f aca="false">IF($B35="","",IFERROR(LOOKUP(2^15,SEARCH(Rules!$A$2:$A$200&amp;"",$B35)/(Rules!$A$2:$A$200&lt;&gt;""),Rules!$A$2:$A$200),""))</f>
        <v>AMAZON</v>
      </c>
      <c r="G35" s="3" t="str">
        <f aca="false">IF($B35="","",IF(D35="Uncategorized","⚠ Review",IF(IFERROR(LOOKUP(2^15,SEARCH(Rules!$A$2:$A$200&amp;"",$B35)/(Rules!$A$2:$A$200&lt;&gt;""),Rules!$C$2:$C$200),"")&lt;&gt;E35,"⚠ Check sign","OK")))</f>
        <v>OK</v>
      </c>
    </row>
    <row r="36" customFormat="false" ht="15" hidden="false" customHeight="false" outlineLevel="0" collapsed="false">
      <c r="A36" s="2" t="n">
        <v>46296</v>
      </c>
      <c r="B36" s="3" t="s">
        <v>42</v>
      </c>
      <c r="C36" s="4" t="n">
        <v>-4921</v>
      </c>
      <c r="D36" s="3" t="str">
        <f aca="false">IF($B36="","",IFERROR(LOOKUP(2^15,SEARCH(Rules!$A$2:$A$200&amp;"",$B36)/(Rules!$A$2:$A$200&lt;&gt;""),Rules!$B$2:$B$200),"Uncategorized"))</f>
        <v>Shopping</v>
      </c>
      <c r="E36" s="3" t="str">
        <f aca="false">IF($B36="","",IF($C36&gt;=0,"Income","Expense"))</f>
        <v>Expense</v>
      </c>
      <c r="F36" s="3" t="str">
        <f aca="false">IF($B36="","",IFERROR(LOOKUP(2^15,SEARCH(Rules!$A$2:$A$200&amp;"",$B36)/(Rules!$A$2:$A$200&lt;&gt;""),Rules!$A$2:$A$200),""))</f>
        <v>FLIPKART</v>
      </c>
      <c r="G36" s="3" t="str">
        <f aca="false">IF($B36="","",IF(D36="Uncategorized","⚠ Review",IF(IFERROR(LOOKUP(2^15,SEARCH(Rules!$A$2:$A$200&amp;"",$B36)/(Rules!$A$2:$A$200&lt;&gt;""),Rules!$C$2:$C$200),"")&lt;&gt;E36,"⚠ Check sign","OK")))</f>
        <v>OK</v>
      </c>
    </row>
    <row r="37" customFormat="false" ht="15" hidden="false" customHeight="false" outlineLevel="0" collapsed="false">
      <c r="A37" s="2" t="n">
        <v>46298</v>
      </c>
      <c r="B37" s="3" t="s">
        <v>43</v>
      </c>
      <c r="C37" s="4" t="n">
        <v>-5000</v>
      </c>
      <c r="D37" s="3" t="str">
        <f aca="false">IF($B37="","",IFERROR(LOOKUP(2^15,SEARCH(Rules!$A$2:$A$200&amp;"",$B37)/(Rules!$A$2:$A$200&lt;&gt;""),Rules!$B$2:$B$200),"Uncategorized"))</f>
        <v>Investments</v>
      </c>
      <c r="E37" s="3" t="str">
        <f aca="false">IF($B37="","",IF($C37&gt;=0,"Income","Expense"))</f>
        <v>Expense</v>
      </c>
      <c r="F37" s="3" t="str">
        <f aca="false">IF($B37="","",IFERROR(LOOKUP(2^15,SEARCH(Rules!$A$2:$A$200&amp;"",$B37)/(Rules!$A$2:$A$200&lt;&gt;""),Rules!$A$2:$A$200),""))</f>
        <v>SIP</v>
      </c>
      <c r="G37" s="3" t="str">
        <f aca="false">IF($B37="","",IF(D37="Uncategorized","⚠ Review",IF(IFERROR(LOOKUP(2^15,SEARCH(Rules!$A$2:$A$200&amp;"",$B37)/(Rules!$A$2:$A$200&lt;&gt;""),Rules!$C$2:$C$200),"")&lt;&gt;E37,"⚠ Check sign","OK")))</f>
        <v>OK</v>
      </c>
    </row>
    <row r="38" customFormat="false" ht="15" hidden="false" customHeight="false" outlineLevel="0" collapsed="false">
      <c r="A38" s="2" t="n">
        <v>46299</v>
      </c>
      <c r="B38" s="3" t="s">
        <v>14</v>
      </c>
      <c r="C38" s="4" t="n">
        <v>111</v>
      </c>
      <c r="D38" s="3" t="str">
        <f aca="false">IF($B38="","",IFERROR(LOOKUP(2^15,SEARCH(Rules!$A$2:$A$200&amp;"",$B38)/(Rules!$A$2:$A$200&lt;&gt;""),Rules!$B$2:$B$200),"Uncategorized"))</f>
        <v>Interest</v>
      </c>
      <c r="E38" s="3" t="str">
        <f aca="false">IF($B38="","",IF($C38&gt;=0,"Income","Expense"))</f>
        <v>Income</v>
      </c>
      <c r="F38" s="3" t="str">
        <f aca="false">IF($B38="","",IFERROR(LOOKUP(2^15,SEARCH(Rules!$A$2:$A$200&amp;"",$B38)/(Rules!$A$2:$A$200&lt;&gt;""),Rules!$A$2:$A$200),""))</f>
        <v>INTEREST CREDIT</v>
      </c>
      <c r="G38" s="3" t="str">
        <f aca="false">IF($B38="","",IF(D38="Uncategorized","⚠ Review",IF(IFERROR(LOOKUP(2^15,SEARCH(Rules!$A$2:$A$200&amp;"",$B38)/(Rules!$A$2:$A$200&lt;&gt;""),Rules!$C$2:$C$200),"")&lt;&gt;E38,"⚠ Check sign","OK")))</f>
        <v>OK</v>
      </c>
    </row>
    <row r="39" customFormat="false" ht="15" hidden="false" customHeight="false" outlineLevel="0" collapsed="false">
      <c r="A39" s="2" t="n">
        <v>46299</v>
      </c>
      <c r="B39" s="3" t="s">
        <v>14</v>
      </c>
      <c r="C39" s="4" t="n">
        <v>135</v>
      </c>
      <c r="D39" s="3" t="str">
        <f aca="false">IF($B39="","",IFERROR(LOOKUP(2^15,SEARCH(Rules!$A$2:$A$200&amp;"",$B39)/(Rules!$A$2:$A$200&lt;&gt;""),Rules!$B$2:$B$200),"Uncategorized"))</f>
        <v>Interest</v>
      </c>
      <c r="E39" s="3" t="str">
        <f aca="false">IF($B39="","",IF($C39&gt;=0,"Income","Expense"))</f>
        <v>Income</v>
      </c>
      <c r="F39" s="3" t="str">
        <f aca="false">IF($B39="","",IFERROR(LOOKUP(2^15,SEARCH(Rules!$A$2:$A$200&amp;"",$B39)/(Rules!$A$2:$A$200&lt;&gt;""),Rules!$A$2:$A$200),""))</f>
        <v>INTEREST CREDIT</v>
      </c>
      <c r="G39" s="3" t="str">
        <f aca="false">IF($B39="","",IF(D39="Uncategorized","⚠ Review",IF(IFERROR(LOOKUP(2^15,SEARCH(Rules!$A$2:$A$200&amp;"",$B39)/(Rules!$A$2:$A$200&lt;&gt;""),Rules!$C$2:$C$200),"")&lt;&gt;E39,"⚠ Check sign","OK")))</f>
        <v>OK</v>
      </c>
    </row>
    <row r="40" customFormat="false" ht="15" hidden="false" customHeight="false" outlineLevel="0" collapsed="false">
      <c r="A40" s="2" t="n">
        <v>46301</v>
      </c>
      <c r="B40" s="3" t="s">
        <v>44</v>
      </c>
      <c r="C40" s="4" t="n">
        <v>-4567</v>
      </c>
      <c r="D40" s="3" t="str">
        <f aca="false">IF($B40="","",IFERROR(LOOKUP(2^15,SEARCH(Rules!$A$2:$A$200&amp;"",$B40)/(Rules!$A$2:$A$200&lt;&gt;""),Rules!$B$2:$B$200),"Uncategorized"))</f>
        <v>Shopping</v>
      </c>
      <c r="E40" s="3" t="str">
        <f aca="false">IF($B40="","",IF($C40&gt;=0,"Income","Expense"))</f>
        <v>Expense</v>
      </c>
      <c r="F40" s="3" t="str">
        <f aca="false">IF($B40="","",IFERROR(LOOKUP(2^15,SEARCH(Rules!$A$2:$A$200&amp;"",$B40)/(Rules!$A$2:$A$200&lt;&gt;""),Rules!$A$2:$A$200),""))</f>
        <v>FLIPKART</v>
      </c>
      <c r="G40" s="3" t="str">
        <f aca="false">IF($B40="","",IF(D40="Uncategorized","⚠ Review",IF(IFERROR(LOOKUP(2^15,SEARCH(Rules!$A$2:$A$200&amp;"",$B40)/(Rules!$A$2:$A$200&lt;&gt;""),Rules!$C$2:$C$200),"")&lt;&gt;E40,"⚠ Check sign","OK")))</f>
        <v>OK</v>
      </c>
    </row>
    <row r="41" customFormat="false" ht="15" hidden="false" customHeight="false" outlineLevel="0" collapsed="false">
      <c r="A41" s="2" t="n">
        <v>46301</v>
      </c>
      <c r="B41" s="3" t="s">
        <v>17</v>
      </c>
      <c r="C41" s="4" t="n">
        <v>-15000</v>
      </c>
      <c r="D41" s="3" t="str">
        <f aca="false">IF($B41="","",IFERROR(LOOKUP(2^15,SEARCH(Rules!$A$2:$A$200&amp;"",$B41)/(Rules!$A$2:$A$200&lt;&gt;""),Rules!$B$2:$B$200),"Uncategorized"))</f>
        <v>Rent</v>
      </c>
      <c r="E41" s="3" t="str">
        <f aca="false">IF($B41="","",IF($C41&gt;=0,"Income","Expense"))</f>
        <v>Expense</v>
      </c>
      <c r="F41" s="3" t="str">
        <f aca="false">IF($B41="","",IFERROR(LOOKUP(2^15,SEARCH(Rules!$A$2:$A$200&amp;"",$B41)/(Rules!$A$2:$A$200&lt;&gt;""),Rules!$A$2:$A$200),""))</f>
        <v>RENT</v>
      </c>
      <c r="G41" s="3" t="str">
        <f aca="false">IF($B41="","",IF(D41="Uncategorized","⚠ Review",IF(IFERROR(LOOKUP(2^15,SEARCH(Rules!$A$2:$A$200&amp;"",$B41)/(Rules!$A$2:$A$200&lt;&gt;""),Rules!$C$2:$C$200),"")&lt;&gt;E41,"⚠ Check sign","OK")))</f>
        <v>OK</v>
      </c>
    </row>
    <row r="42" customFormat="false" ht="15" hidden="false" customHeight="false" outlineLevel="0" collapsed="false">
      <c r="A42" s="2" t="n">
        <v>46303</v>
      </c>
      <c r="B42" s="3" t="s">
        <v>45</v>
      </c>
      <c r="C42" s="4" t="n">
        <v>-5000</v>
      </c>
      <c r="D42" s="3" t="str">
        <f aca="false">IF($B42="","",IFERROR(LOOKUP(2^15,SEARCH(Rules!$A$2:$A$200&amp;"",$B42)/(Rules!$A$2:$A$200&lt;&gt;""),Rules!$B$2:$B$200),"Uncategorized"))</f>
        <v>Investments</v>
      </c>
      <c r="E42" s="3" t="str">
        <f aca="false">IF($B42="","",IF($C42&gt;=0,"Income","Expense"))</f>
        <v>Expense</v>
      </c>
      <c r="F42" s="3" t="str">
        <f aca="false">IF($B42="","",IFERROR(LOOKUP(2^15,SEARCH(Rules!$A$2:$A$200&amp;"",$B42)/(Rules!$A$2:$A$200&lt;&gt;""),Rules!$A$2:$A$200),""))</f>
        <v>SIP</v>
      </c>
      <c r="G42" s="3" t="str">
        <f aca="false">IF($B42="","",IF(D42="Uncategorized","⚠ Review",IF(IFERROR(LOOKUP(2^15,SEARCH(Rules!$A$2:$A$200&amp;"",$B42)/(Rules!$A$2:$A$200&lt;&gt;""),Rules!$C$2:$C$200),"")&lt;&gt;E42,"⚠ Check sign","OK")))</f>
        <v>OK</v>
      </c>
    </row>
    <row r="43" customFormat="false" ht="15" hidden="false" customHeight="false" outlineLevel="0" collapsed="false">
      <c r="A43" s="2" t="n">
        <v>46303</v>
      </c>
      <c r="B43" s="3" t="s">
        <v>46</v>
      </c>
      <c r="C43" s="4" t="n">
        <v>-317</v>
      </c>
      <c r="D43" s="3" t="str">
        <f aca="false">IF($B43="","",IFERROR(LOOKUP(2^15,SEARCH(Rules!$A$2:$A$200&amp;"",$B43)/(Rules!$A$2:$A$200&lt;&gt;""),Rules!$B$2:$B$200),"Uncategorized"))</f>
        <v>Groceries</v>
      </c>
      <c r="E43" s="3" t="str">
        <f aca="false">IF($B43="","",IF($C43&gt;=0,"Income","Expense"))</f>
        <v>Expense</v>
      </c>
      <c r="F43" s="3" t="str">
        <f aca="false">IF($B43="","",IFERROR(LOOKUP(2^15,SEARCH(Rules!$A$2:$A$200&amp;"",$B43)/(Rules!$A$2:$A$200&lt;&gt;""),Rules!$A$2:$A$200),""))</f>
        <v>BLINKIT</v>
      </c>
      <c r="G43" s="3" t="str">
        <f aca="false">IF($B43="","",IF(D43="Uncategorized","⚠ Review",IF(IFERROR(LOOKUP(2^15,SEARCH(Rules!$A$2:$A$200&amp;"",$B43)/(Rules!$A$2:$A$200&lt;&gt;""),Rules!$C$2:$C$200),"")&lt;&gt;E43,"⚠ Check sign","OK")))</f>
        <v>OK</v>
      </c>
    </row>
    <row r="44" customFormat="false" ht="15" hidden="false" customHeight="false" outlineLevel="0" collapsed="false">
      <c r="A44" s="2" t="n">
        <v>46305</v>
      </c>
      <c r="B44" s="3" t="s">
        <v>47</v>
      </c>
      <c r="C44" s="4" t="n">
        <v>-420</v>
      </c>
      <c r="D44" s="3" t="str">
        <f aca="false">IF($B44="","",IFERROR(LOOKUP(2^15,SEARCH(Rules!$A$2:$A$200&amp;"",$B44)/(Rules!$A$2:$A$200&lt;&gt;""),Rules!$B$2:$B$200),"Uncategorized"))</f>
        <v>Travel</v>
      </c>
      <c r="E44" s="3" t="str">
        <f aca="false">IF($B44="","",IF($C44&gt;=0,"Income","Expense"))</f>
        <v>Expense</v>
      </c>
      <c r="F44" s="3" t="str">
        <f aca="false">IF($B44="","",IFERROR(LOOKUP(2^15,SEARCH(Rules!$A$2:$A$200&amp;"",$B44)/(Rules!$A$2:$A$200&lt;&gt;""),Rules!$A$2:$A$200),""))</f>
        <v>IRCTC</v>
      </c>
      <c r="G44" s="3" t="str">
        <f aca="false">IF($B44="","",IF(D44="Uncategorized","⚠ Review",IF(IFERROR(LOOKUP(2^15,SEARCH(Rules!$A$2:$A$200&amp;"",$B44)/(Rules!$A$2:$A$200&lt;&gt;""),Rules!$C$2:$C$200),"")&lt;&gt;E44,"⚠ Check sign","OK")))</f>
        <v>OK</v>
      </c>
    </row>
    <row r="45" customFormat="false" ht="15" hidden="false" customHeight="false" outlineLevel="0" collapsed="false">
      <c r="A45" s="2" t="n">
        <v>46306</v>
      </c>
      <c r="B45" s="3" t="s">
        <v>48</v>
      </c>
      <c r="C45" s="4" t="n">
        <v>-162</v>
      </c>
      <c r="D45" s="3" t="str">
        <f aca="false">IF($B45="","",IFERROR(LOOKUP(2^15,SEARCH(Rules!$A$2:$A$200&amp;"",$B45)/(Rules!$A$2:$A$200&lt;&gt;""),Rules!$B$2:$B$200),"Uncategorized"))</f>
        <v>Food Delivery</v>
      </c>
      <c r="E45" s="3" t="str">
        <f aca="false">IF($B45="","",IF($C45&gt;=0,"Income","Expense"))</f>
        <v>Expense</v>
      </c>
      <c r="F45" s="3" t="str">
        <f aca="false">IF($B45="","",IFERROR(LOOKUP(2^15,SEARCH(Rules!$A$2:$A$200&amp;"",$B45)/(Rules!$A$2:$A$200&lt;&gt;""),Rules!$A$2:$A$200),""))</f>
        <v>ZOMATO</v>
      </c>
      <c r="G45" s="3" t="str">
        <f aca="false">IF($B45="","",IF(D45="Uncategorized","⚠ Review",IF(IFERROR(LOOKUP(2^15,SEARCH(Rules!$A$2:$A$200&amp;"",$B45)/(Rules!$A$2:$A$200&lt;&gt;""),Rules!$C$2:$C$200),"")&lt;&gt;E45,"⚠ Check sign","OK")))</f>
        <v>OK</v>
      </c>
    </row>
    <row r="46" customFormat="false" ht="15" hidden="false" customHeight="false" outlineLevel="0" collapsed="false">
      <c r="A46" s="2" t="n">
        <v>46307</v>
      </c>
      <c r="B46" s="3" t="s">
        <v>17</v>
      </c>
      <c r="C46" s="4" t="n">
        <v>-15000</v>
      </c>
      <c r="D46" s="3" t="str">
        <f aca="false">IF($B46="","",IFERROR(LOOKUP(2^15,SEARCH(Rules!$A$2:$A$200&amp;"",$B46)/(Rules!$A$2:$A$200&lt;&gt;""),Rules!$B$2:$B$200),"Uncategorized"))</f>
        <v>Rent</v>
      </c>
      <c r="E46" s="3" t="str">
        <f aca="false">IF($B46="","",IF($C46&gt;=0,"Income","Expense"))</f>
        <v>Expense</v>
      </c>
      <c r="F46" s="3" t="str">
        <f aca="false">IF($B46="","",IFERROR(LOOKUP(2^15,SEARCH(Rules!$A$2:$A$200&amp;"",$B46)/(Rules!$A$2:$A$200&lt;&gt;""),Rules!$A$2:$A$200),""))</f>
        <v>RENT</v>
      </c>
      <c r="G46" s="3" t="str">
        <f aca="false">IF($B46="","",IF(D46="Uncategorized","⚠ Review",IF(IFERROR(LOOKUP(2^15,SEARCH(Rules!$A$2:$A$200&amp;"",$B46)/(Rules!$A$2:$A$200&lt;&gt;""),Rules!$C$2:$C$200),"")&lt;&gt;E46,"⚠ Check sign","OK")))</f>
        <v>OK</v>
      </c>
    </row>
    <row r="47" customFormat="false" ht="15" hidden="false" customHeight="false" outlineLevel="0" collapsed="false">
      <c r="A47" s="2" t="n">
        <v>46308</v>
      </c>
      <c r="B47" s="3" t="s">
        <v>12</v>
      </c>
      <c r="C47" s="4" t="n">
        <v>-119</v>
      </c>
      <c r="D47" s="3" t="str">
        <f aca="false">IF($B47="","",IFERROR(LOOKUP(2^15,SEARCH(Rules!$A$2:$A$200&amp;"",$B47)/(Rules!$A$2:$A$200&lt;&gt;""),Rules!$B$2:$B$200),"Uncategorized"))</f>
        <v>Subscriptions</v>
      </c>
      <c r="E47" s="3" t="str">
        <f aca="false">IF($B47="","",IF($C47&gt;=0,"Income","Expense"))</f>
        <v>Expense</v>
      </c>
      <c r="F47" s="3" t="str">
        <f aca="false">IF($B47="","",IFERROR(LOOKUP(2^15,SEARCH(Rules!$A$2:$A$200&amp;"",$B47)/(Rules!$A$2:$A$200&lt;&gt;""),Rules!$A$2:$A$200),""))</f>
        <v>SPOTIFY</v>
      </c>
      <c r="G47" s="3" t="str">
        <f aca="false">IF($B47="","",IF(D47="Uncategorized","⚠ Review",IF(IFERROR(LOOKUP(2^15,SEARCH(Rules!$A$2:$A$200&amp;"",$B47)/(Rules!$A$2:$A$200&lt;&gt;""),Rules!$C$2:$C$200),"")&lt;&gt;E47,"⚠ Check sign","OK")))</f>
        <v>OK</v>
      </c>
    </row>
    <row r="48" customFormat="false" ht="15" hidden="false" customHeight="false" outlineLevel="0" collapsed="false">
      <c r="A48" s="2" t="n">
        <v>46310</v>
      </c>
      <c r="B48" s="3" t="s">
        <v>49</v>
      </c>
      <c r="C48" s="4" t="n">
        <v>-1657</v>
      </c>
      <c r="D48" s="3" t="str">
        <f aca="false">IF($B48="","",IFERROR(LOOKUP(2^15,SEARCH(Rules!$A$2:$A$200&amp;"",$B48)/(Rules!$A$2:$A$200&lt;&gt;""),Rules!$B$2:$B$200),"Uncategorized"))</f>
        <v>Transfers (UPI)</v>
      </c>
      <c r="E48" s="3" t="str">
        <f aca="false">IF($B48="","",IF($C48&gt;=0,"Income","Expense"))</f>
        <v>Expense</v>
      </c>
      <c r="F48" s="3" t="str">
        <f aca="false">IF($B48="","",IFERROR(LOOKUP(2^15,SEARCH(Rules!$A$2:$A$200&amp;"",$B48)/(Rules!$A$2:$A$200&lt;&gt;""),Rules!$A$2:$A$200),""))</f>
        <v>UPI</v>
      </c>
      <c r="G48" s="3" t="str">
        <f aca="false">IF($B48="","",IF(D48="Uncategorized","⚠ Review",IF(IFERROR(LOOKUP(2^15,SEARCH(Rules!$A$2:$A$200&amp;"",$B48)/(Rules!$A$2:$A$200&lt;&gt;""),Rules!$C$2:$C$200),"")&lt;&gt;E48,"⚠ Check sign","OK")))</f>
        <v>OK</v>
      </c>
    </row>
    <row r="49" customFormat="false" ht="15" hidden="false" customHeight="false" outlineLevel="0" collapsed="false">
      <c r="A49" s="2" t="n">
        <v>46311</v>
      </c>
      <c r="B49" s="3" t="s">
        <v>50</v>
      </c>
      <c r="C49" s="4" t="n">
        <v>-3126</v>
      </c>
      <c r="D49" s="3" t="str">
        <f aca="false">IF($B49="","",IFERROR(LOOKUP(2^15,SEARCH(Rules!$A$2:$A$200&amp;"",$B49)/(Rules!$A$2:$A$200&lt;&gt;""),Rules!$B$2:$B$200),"Uncategorized"))</f>
        <v>Cash Withdrawal</v>
      </c>
      <c r="E49" s="3" t="str">
        <f aca="false">IF($B49="","",IF($C49&gt;=0,"Income","Expense"))</f>
        <v>Expense</v>
      </c>
      <c r="F49" s="3" t="str">
        <f aca="false">IF($B49="","",IFERROR(LOOKUP(2^15,SEARCH(Rules!$A$2:$A$200&amp;"",$B49)/(Rules!$A$2:$A$200&lt;&gt;""),Rules!$A$2:$A$200),""))</f>
        <v>ATM</v>
      </c>
      <c r="G49" s="3" t="str">
        <f aca="false">IF($B49="","",IF(D49="Uncategorized","⚠ Review",IF(IFERROR(LOOKUP(2^15,SEARCH(Rules!$A$2:$A$200&amp;"",$B49)/(Rules!$A$2:$A$200&lt;&gt;""),Rules!$C$2:$C$200),"")&lt;&gt;E49,"⚠ Check sign","OK")))</f>
        <v>OK</v>
      </c>
    </row>
    <row r="50" customFormat="false" ht="15" hidden="false" customHeight="false" outlineLevel="0" collapsed="false">
      <c r="A50" s="2" t="n">
        <v>46311</v>
      </c>
      <c r="B50" s="3" t="s">
        <v>51</v>
      </c>
      <c r="C50" s="4" t="n">
        <v>-1163</v>
      </c>
      <c r="D50" s="3" t="str">
        <f aca="false">IF($B50="","",IFERROR(LOOKUP(2^15,SEARCH(Rules!$A$2:$A$200&amp;"",$B50)/(Rules!$A$2:$A$200&lt;&gt;""),Rules!$B$2:$B$200),"Uncategorized"))</f>
        <v>Groceries</v>
      </c>
      <c r="E50" s="3" t="str">
        <f aca="false">IF($B50="","",IF($C50&gt;=0,"Income","Expense"))</f>
        <v>Expense</v>
      </c>
      <c r="F50" s="3" t="str">
        <f aca="false">IF($B50="","",IFERROR(LOOKUP(2^15,SEARCH(Rules!$A$2:$A$200&amp;"",$B50)/(Rules!$A$2:$A$200&lt;&gt;""),Rules!$A$2:$A$200),""))</f>
        <v>DMART</v>
      </c>
      <c r="G50" s="3" t="str">
        <f aca="false">IF($B50="","",IF(D50="Uncategorized","⚠ Review",IF(IFERROR(LOOKUP(2^15,SEARCH(Rules!$A$2:$A$200&amp;"",$B50)/(Rules!$A$2:$A$200&lt;&gt;""),Rules!$C$2:$C$200),"")&lt;&gt;E50,"⚠ Check sign","OK")))</f>
        <v>OK</v>
      </c>
    </row>
    <row r="51" customFormat="false" ht="15" hidden="false" customHeight="false" outlineLevel="0" collapsed="false">
      <c r="A51" s="2" t="n">
        <v>46312</v>
      </c>
      <c r="B51" s="3" t="s">
        <v>52</v>
      </c>
      <c r="C51" s="4" t="n">
        <v>-350</v>
      </c>
      <c r="D51" s="3" t="str">
        <f aca="false">IF($B51="","",IFERROR(LOOKUP(2^15,SEARCH(Rules!$A$2:$A$200&amp;"",$B51)/(Rules!$A$2:$A$200&lt;&gt;""),Rules!$B$2:$B$200),"Uncategorized"))</f>
        <v>Health</v>
      </c>
      <c r="E51" s="3" t="str">
        <f aca="false">IF($B51="","",IF($C51&gt;=0,"Income","Expense"))</f>
        <v>Expense</v>
      </c>
      <c r="F51" s="3" t="str">
        <f aca="false">IF($B51="","",IFERROR(LOOKUP(2^15,SEARCH(Rules!$A$2:$A$200&amp;"",$B51)/(Rules!$A$2:$A$200&lt;&gt;""),Rules!$A$2:$A$200),""))</f>
        <v>APOLLO</v>
      </c>
      <c r="G51" s="3" t="str">
        <f aca="false">IF($B51="","",IF(D51="Uncategorized","⚠ Review",IF(IFERROR(LOOKUP(2^15,SEARCH(Rules!$A$2:$A$200&amp;"",$B51)/(Rules!$A$2:$A$200&lt;&gt;""),Rules!$C$2:$C$200),"")&lt;&gt;E51,"⚠ Check sign","OK")))</f>
        <v>OK</v>
      </c>
    </row>
    <row r="52" customFormat="false" ht="15" hidden="false" customHeight="false" outlineLevel="0" collapsed="false">
      <c r="A52" s="2" t="n">
        <v>46314</v>
      </c>
      <c r="B52" s="3" t="s">
        <v>53</v>
      </c>
      <c r="C52" s="4" t="n">
        <v>2643</v>
      </c>
      <c r="D52" s="3" t="str">
        <f aca="false">IF($B52="","",IFERROR(LOOKUP(2^15,SEARCH(Rules!$A$2:$A$200&amp;"",$B52)/(Rules!$A$2:$A$200&lt;&gt;""),Rules!$B$2:$B$200),"Uncategorized"))</f>
        <v>Freelance Income</v>
      </c>
      <c r="E52" s="3" t="str">
        <f aca="false">IF($B52="","",IF($C52&gt;=0,"Income","Expense"))</f>
        <v>Income</v>
      </c>
      <c r="F52" s="3" t="str">
        <f aca="false">IF($B52="","",IFERROR(LOOKUP(2^15,SEARCH(Rules!$A$2:$A$200&amp;"",$B52)/(Rules!$A$2:$A$200&lt;&gt;""),Rules!$A$2:$A$200),""))</f>
        <v>FREELANCE</v>
      </c>
      <c r="G52" s="3" t="str">
        <f aca="false">IF($B52="","",IF(D52="Uncategorized","⚠ Review",IF(IFERROR(LOOKUP(2^15,SEARCH(Rules!$A$2:$A$200&amp;"",$B52)/(Rules!$A$2:$A$200&lt;&gt;""),Rules!$C$2:$C$200),"")&lt;&gt;E52,"⚠ Check sign","OK")))</f>
        <v>OK</v>
      </c>
    </row>
    <row r="53" customFormat="false" ht="15" hidden="false" customHeight="false" outlineLevel="0" collapsed="false">
      <c r="A53" s="2" t="n">
        <v>46317</v>
      </c>
      <c r="B53" s="3" t="s">
        <v>54</v>
      </c>
      <c r="C53" s="4" t="n">
        <v>-2215</v>
      </c>
      <c r="D53" s="3" t="str">
        <f aca="false">IF($B53="","",IFERROR(LOOKUP(2^15,SEARCH(Rules!$A$2:$A$200&amp;"",$B53)/(Rules!$A$2:$A$200&lt;&gt;""),Rules!$B$2:$B$200),"Uncategorized"))</f>
        <v>Travel</v>
      </c>
      <c r="E53" s="3" t="str">
        <f aca="false">IF($B53="","",IF($C53&gt;=0,"Income","Expense"))</f>
        <v>Expense</v>
      </c>
      <c r="F53" s="3" t="str">
        <f aca="false">IF($B53="","",IFERROR(LOOKUP(2^15,SEARCH(Rules!$A$2:$A$200&amp;"",$B53)/(Rules!$A$2:$A$200&lt;&gt;""),Rules!$A$2:$A$200),""))</f>
        <v>IRCTC</v>
      </c>
      <c r="G53" s="3" t="str">
        <f aca="false">IF($B53="","",IF(D53="Uncategorized","⚠ Review",IF(IFERROR(LOOKUP(2^15,SEARCH(Rules!$A$2:$A$200&amp;"",$B53)/(Rules!$A$2:$A$200&lt;&gt;""),Rules!$C$2:$C$200),"")&lt;&gt;E53,"⚠ Check sign","OK")))</f>
        <v>OK</v>
      </c>
    </row>
    <row r="54" customFormat="false" ht="15" hidden="false" customHeight="false" outlineLevel="0" collapsed="false">
      <c r="A54" s="2" t="n">
        <v>46317</v>
      </c>
      <c r="B54" s="3" t="s">
        <v>55</v>
      </c>
      <c r="C54" s="4" t="n">
        <v>-208</v>
      </c>
      <c r="D54" s="3" t="str">
        <f aca="false">IF($B54="","",IFERROR(LOOKUP(2^15,SEARCH(Rules!$A$2:$A$200&amp;"",$B54)/(Rules!$A$2:$A$200&lt;&gt;""),Rules!$B$2:$B$200),"Uncategorized"))</f>
        <v>Food Delivery</v>
      </c>
      <c r="E54" s="3" t="str">
        <f aca="false">IF($B54="","",IF($C54&gt;=0,"Income","Expense"))</f>
        <v>Expense</v>
      </c>
      <c r="F54" s="3" t="str">
        <f aca="false">IF($B54="","",IFERROR(LOOKUP(2^15,SEARCH(Rules!$A$2:$A$200&amp;"",$B54)/(Rules!$A$2:$A$200&lt;&gt;""),Rules!$A$2:$A$200),""))</f>
        <v>SWIGGY</v>
      </c>
      <c r="G54" s="3" t="str">
        <f aca="false">IF($B54="","",IF(D54="Uncategorized","⚠ Review",IF(IFERROR(LOOKUP(2^15,SEARCH(Rules!$A$2:$A$200&amp;"",$B54)/(Rules!$A$2:$A$200&lt;&gt;""),Rules!$C$2:$C$200),"")&lt;&gt;E54,"⚠ Check sign","OK")))</f>
        <v>OK</v>
      </c>
    </row>
    <row r="55" customFormat="false" ht="15" hidden="false" customHeight="false" outlineLevel="0" collapsed="false">
      <c r="A55" s="2" t="n">
        <v>46320</v>
      </c>
      <c r="B55" s="3" t="s">
        <v>56</v>
      </c>
      <c r="C55" s="4" t="n">
        <v>-3678</v>
      </c>
      <c r="D55" s="3" t="str">
        <f aca="false">IF($B55="","",IFERROR(LOOKUP(2^15,SEARCH(Rules!$A$2:$A$200&amp;"",$B55)/(Rules!$A$2:$A$200&lt;&gt;""),Rules!$B$2:$B$200),"Uncategorized"))</f>
        <v>Cash Withdrawal</v>
      </c>
      <c r="E55" s="3" t="str">
        <f aca="false">IF($B55="","",IF($C55&gt;=0,"Income","Expense"))</f>
        <v>Expense</v>
      </c>
      <c r="F55" s="3" t="str">
        <f aca="false">IF($B55="","",IFERROR(LOOKUP(2^15,SEARCH(Rules!$A$2:$A$200&amp;"",$B55)/(Rules!$A$2:$A$200&lt;&gt;""),Rules!$A$2:$A$200),""))</f>
        <v>ATM</v>
      </c>
      <c r="G55" s="3" t="str">
        <f aca="false">IF($B55="","",IF(D55="Uncategorized","⚠ Review",IF(IFERROR(LOOKUP(2^15,SEARCH(Rules!$A$2:$A$200&amp;"",$B55)/(Rules!$A$2:$A$200&lt;&gt;""),Rules!$C$2:$C$200),"")&lt;&gt;E55,"⚠ Check sign","OK")))</f>
        <v>OK</v>
      </c>
    </row>
    <row r="56" customFormat="false" ht="15" hidden="false" customHeight="false" outlineLevel="0" collapsed="false">
      <c r="A56" s="2" t="n">
        <v>46320</v>
      </c>
      <c r="B56" s="3" t="s">
        <v>57</v>
      </c>
      <c r="C56" s="4" t="n">
        <v>-1445</v>
      </c>
      <c r="D56" s="3" t="str">
        <f aca="false">IF($B56="","",IFERROR(LOOKUP(2^15,SEARCH(Rules!$A$2:$A$200&amp;"",$B56)/(Rules!$A$2:$A$200&lt;&gt;""),Rules!$B$2:$B$200),"Uncategorized"))</f>
        <v>Groceries</v>
      </c>
      <c r="E56" s="3" t="str">
        <f aca="false">IF($B56="","",IF($C56&gt;=0,"Income","Expense"))</f>
        <v>Expense</v>
      </c>
      <c r="F56" s="3" t="str">
        <f aca="false">IF($B56="","",IFERROR(LOOKUP(2^15,SEARCH(Rules!$A$2:$A$200&amp;"",$B56)/(Rules!$A$2:$A$200&lt;&gt;""),Rules!$A$2:$A$200),""))</f>
        <v>BLINKIT</v>
      </c>
      <c r="G56" s="3" t="str">
        <f aca="false">IF($B56="","",IF(D56="Uncategorized","⚠ Review",IF(IFERROR(LOOKUP(2^15,SEARCH(Rules!$A$2:$A$200&amp;"",$B56)/(Rules!$A$2:$A$200&lt;&gt;""),Rules!$C$2:$C$200),"")&lt;&gt;E56,"⚠ Check sign","OK")))</f>
        <v>OK</v>
      </c>
    </row>
    <row r="57" customFormat="false" ht="15" hidden="false" customHeight="false" outlineLevel="0" collapsed="false">
      <c r="A57" s="2" t="n">
        <v>46321</v>
      </c>
      <c r="B57" s="3" t="s">
        <v>21</v>
      </c>
      <c r="C57" s="4" t="n">
        <v>65000</v>
      </c>
      <c r="D57" s="3" t="str">
        <f aca="false">IF($B57="","",IFERROR(LOOKUP(2^15,SEARCH(Rules!$A$2:$A$200&amp;"",$B57)/(Rules!$A$2:$A$200&lt;&gt;""),Rules!$B$2:$B$200),"Uncategorized"))</f>
        <v>Salary</v>
      </c>
      <c r="E57" s="3" t="str">
        <f aca="false">IF($B57="","",IF($C57&gt;=0,"Income","Expense"))</f>
        <v>Income</v>
      </c>
      <c r="F57" s="3" t="str">
        <f aca="false">IF($B57="","",IFERROR(LOOKUP(2^15,SEARCH(Rules!$A$2:$A$200&amp;"",$B57)/(Rules!$A$2:$A$200&lt;&gt;""),Rules!$A$2:$A$200),""))</f>
        <v>SALARY</v>
      </c>
      <c r="G57" s="3" t="str">
        <f aca="false">IF($B57="","",IF(D57="Uncategorized","⚠ Review",IF(IFERROR(LOOKUP(2^15,SEARCH(Rules!$A$2:$A$200&amp;"",$B57)/(Rules!$A$2:$A$200&lt;&gt;""),Rules!$C$2:$C$200),"")&lt;&gt;E57,"⚠ Check sign","OK")))</f>
        <v>OK</v>
      </c>
    </row>
    <row r="58" customFormat="false" ht="15" hidden="false" customHeight="false" outlineLevel="0" collapsed="false">
      <c r="A58" s="2" t="n">
        <v>46322</v>
      </c>
      <c r="B58" s="3" t="s">
        <v>58</v>
      </c>
      <c r="C58" s="4" t="n">
        <v>1440</v>
      </c>
      <c r="D58" s="3" t="str">
        <f aca="false">IF($B58="","",IFERROR(LOOKUP(2^15,SEARCH(Rules!$A$2:$A$200&amp;"",$B58)/(Rules!$A$2:$A$200&lt;&gt;""),Rules!$B$2:$B$200),"Uncategorized"))</f>
        <v>Refunds</v>
      </c>
      <c r="E58" s="3" t="str">
        <f aca="false">IF($B58="","",IF($C58&gt;=0,"Income","Expense"))</f>
        <v>Income</v>
      </c>
      <c r="F58" s="3" t="str">
        <f aca="false">IF($B58="","",IFERROR(LOOKUP(2^15,SEARCH(Rules!$A$2:$A$200&amp;"",$B58)/(Rules!$A$2:$A$200&lt;&gt;""),Rules!$A$2:$A$200),""))</f>
        <v>REFUND</v>
      </c>
      <c r="G58" s="3" t="str">
        <f aca="false">IF($B58="","",IF(D58="Uncategorized","⚠ Review",IF(IFERROR(LOOKUP(2^15,SEARCH(Rules!$A$2:$A$200&amp;"",$B58)/(Rules!$A$2:$A$200&lt;&gt;""),Rules!$C$2:$C$200),"")&lt;&gt;E58,"⚠ Check sign","OK")))</f>
        <v>OK</v>
      </c>
    </row>
    <row r="59" customFormat="false" ht="15" hidden="false" customHeight="false" outlineLevel="0" collapsed="false">
      <c r="A59" s="2" t="n">
        <v>46322</v>
      </c>
      <c r="B59" s="3" t="s">
        <v>59</v>
      </c>
      <c r="C59" s="4" t="n">
        <v>-170</v>
      </c>
      <c r="D59" s="3" t="str">
        <f aca="false">IF($B59="","",IFERROR(LOOKUP(2^15,SEARCH(Rules!$A$2:$A$200&amp;"",$B59)/(Rules!$A$2:$A$200&lt;&gt;""),Rules!$B$2:$B$200),"Uncategorized"))</f>
        <v>Food Delivery</v>
      </c>
      <c r="E59" s="3" t="str">
        <f aca="false">IF($B59="","",IF($C59&gt;=0,"Income","Expense"))</f>
        <v>Expense</v>
      </c>
      <c r="F59" s="3" t="str">
        <f aca="false">IF($B59="","",IFERROR(LOOKUP(2^15,SEARCH(Rules!$A$2:$A$200&amp;"",$B59)/(Rules!$A$2:$A$200&lt;&gt;""),Rules!$A$2:$A$200),""))</f>
        <v>ZOMATO</v>
      </c>
      <c r="G59" s="3" t="str">
        <f aca="false">IF($B59="","",IF(D59="Uncategorized","⚠ Review",IF(IFERROR(LOOKUP(2^15,SEARCH(Rules!$A$2:$A$200&amp;"",$B59)/(Rules!$A$2:$A$200&lt;&gt;""),Rules!$C$2:$C$200),"")&lt;&gt;E59,"⚠ Check sign","OK")))</f>
        <v>OK</v>
      </c>
    </row>
    <row r="60" customFormat="false" ht="15" hidden="false" customHeight="false" outlineLevel="0" collapsed="false">
      <c r="A60" s="2" t="n">
        <v>46324</v>
      </c>
      <c r="B60" s="3" t="s">
        <v>60</v>
      </c>
      <c r="C60" s="4" t="n">
        <v>-846</v>
      </c>
      <c r="D60" s="3" t="str">
        <f aca="false">IF($B60="","",IFERROR(LOOKUP(2^15,SEARCH(Rules!$A$2:$A$200&amp;"",$B60)/(Rules!$A$2:$A$200&lt;&gt;""),Rules!$B$2:$B$200),"Uncategorized"))</f>
        <v>Travel</v>
      </c>
      <c r="E60" s="3" t="str">
        <f aca="false">IF($B60="","",IF($C60&gt;=0,"Income","Expense"))</f>
        <v>Expense</v>
      </c>
      <c r="F60" s="3" t="str">
        <f aca="false">IF($B60="","",IFERROR(LOOKUP(2^15,SEARCH(Rules!$A$2:$A$200&amp;"",$B60)/(Rules!$A$2:$A$200&lt;&gt;""),Rules!$A$2:$A$200),""))</f>
        <v>IRCTC</v>
      </c>
      <c r="G60" s="3" t="str">
        <f aca="false">IF($B60="","",IF(D60="Uncategorized","⚠ Review",IF(IFERROR(LOOKUP(2^15,SEARCH(Rules!$A$2:$A$200&amp;"",$B60)/(Rules!$A$2:$A$200&lt;&gt;""),Rules!$C$2:$C$200),"")&lt;&gt;E60,"⚠ Check sign","OK")))</f>
        <v>OK</v>
      </c>
    </row>
    <row r="61" customFormat="false" ht="15" hidden="false" customHeight="false" outlineLevel="0" collapsed="false">
      <c r="A61" s="2" t="n">
        <v>46324</v>
      </c>
      <c r="B61" s="3" t="s">
        <v>61</v>
      </c>
      <c r="C61" s="4" t="n">
        <v>-221</v>
      </c>
      <c r="D61" s="3" t="str">
        <f aca="false">IF($B61="","",IFERROR(LOOKUP(2^15,SEARCH(Rules!$A$2:$A$200&amp;"",$B61)/(Rules!$A$2:$A$200&lt;&gt;""),Rules!$B$2:$B$200),"Uncategorized"))</f>
        <v>Transport</v>
      </c>
      <c r="E61" s="3" t="str">
        <f aca="false">IF($B61="","",IF($C61&gt;=0,"Income","Expense"))</f>
        <v>Expense</v>
      </c>
      <c r="F61" s="3" t="str">
        <f aca="false">IF($B61="","",IFERROR(LOOKUP(2^15,SEARCH(Rules!$A$2:$A$200&amp;"",$B61)/(Rules!$A$2:$A$200&lt;&gt;""),Rules!$A$2:$A$200),""))</f>
        <v>UBER</v>
      </c>
      <c r="G61" s="3" t="str">
        <f aca="false">IF($B61="","",IF(D61="Uncategorized","⚠ Review",IF(IFERROR(LOOKUP(2^15,SEARCH(Rules!$A$2:$A$200&amp;"",$B61)/(Rules!$A$2:$A$200&lt;&gt;""),Rules!$C$2:$C$200),"")&lt;&gt;E61,"⚠ Check sign","OK")))</f>
        <v>OK</v>
      </c>
    </row>
    <row r="62" customFormat="false" ht="15" hidden="false" customHeight="false" outlineLevel="0" collapsed="false">
      <c r="A62" s="3"/>
      <c r="B62" s="3"/>
      <c r="C62" s="3"/>
      <c r="D62" s="3" t="str">
        <f aca="false">IF($B62="","",IFERROR(LOOKUP(2^15,SEARCH(Rules!$A$2:$A$200&amp;"",$B62)/(Rules!$A$2:$A$200&lt;&gt;""),Rules!$B$2:$B$200),"Uncategorized"))</f>
        <v/>
      </c>
      <c r="E62" s="3" t="str">
        <f aca="false">IF($B62="","",IF($C62&gt;=0,"Income","Expense"))</f>
        <v/>
      </c>
      <c r="F62" s="3" t="str">
        <f aca="false">IF($B62="","",IFERROR(LOOKUP(2^15,SEARCH(Rules!$A$2:$A$200&amp;"",$B62)/(Rules!$A$2:$A$200&lt;&gt;""),Rules!$A$2:$A$200),""))</f>
        <v/>
      </c>
      <c r="G62" s="3" t="str">
        <f aca="false">IF($B62="","",IF(D62="Uncategorized","⚠ Review",IF(IFERROR(LOOKUP(2^15,SEARCH(Rules!$A$2:$A$200&amp;"",$B62)/(Rules!$A$2:$A$200&lt;&gt;""),Rules!$C$2:$C$200),"")&lt;&gt;E62,"⚠ Check sign","OK")))</f>
        <v/>
      </c>
    </row>
    <row r="63" customFormat="false" ht="15" hidden="false" customHeight="false" outlineLevel="0" collapsed="false">
      <c r="A63" s="3"/>
      <c r="B63" s="3"/>
      <c r="C63" s="3"/>
      <c r="D63" s="3" t="str">
        <f aca="false">IF($B63="","",IFERROR(LOOKUP(2^15,SEARCH(Rules!$A$2:$A$200&amp;"",$B63)/(Rules!$A$2:$A$200&lt;&gt;""),Rules!$B$2:$B$200),"Uncategorized"))</f>
        <v/>
      </c>
      <c r="E63" s="3" t="str">
        <f aca="false">IF($B63="","",IF($C63&gt;=0,"Income","Expense"))</f>
        <v/>
      </c>
      <c r="F63" s="3" t="str">
        <f aca="false">IF($B63="","",IFERROR(LOOKUP(2^15,SEARCH(Rules!$A$2:$A$200&amp;"",$B63)/(Rules!$A$2:$A$200&lt;&gt;""),Rules!$A$2:$A$200),""))</f>
        <v/>
      </c>
      <c r="G63" s="3" t="str">
        <f aca="false">IF($B63="","",IF(D63="Uncategorized","⚠ Review",IF(IFERROR(LOOKUP(2^15,SEARCH(Rules!$A$2:$A$200&amp;"",$B63)/(Rules!$A$2:$A$200&lt;&gt;""),Rules!$C$2:$C$200),"")&lt;&gt;E63,"⚠ Check sign","OK")))</f>
        <v/>
      </c>
    </row>
    <row r="64" customFormat="false" ht="15" hidden="false" customHeight="false" outlineLevel="0" collapsed="false">
      <c r="A64" s="3"/>
      <c r="B64" s="3"/>
      <c r="C64" s="3"/>
      <c r="D64" s="3" t="str">
        <f aca="false">IF($B64="","",IFERROR(LOOKUP(2^15,SEARCH(Rules!$A$2:$A$200&amp;"",$B64)/(Rules!$A$2:$A$200&lt;&gt;""),Rules!$B$2:$B$200),"Uncategorized"))</f>
        <v/>
      </c>
      <c r="E64" s="3" t="str">
        <f aca="false">IF($B64="","",IF($C64&gt;=0,"Income","Expense"))</f>
        <v/>
      </c>
      <c r="F64" s="3" t="str">
        <f aca="false">IF($B64="","",IFERROR(LOOKUP(2^15,SEARCH(Rules!$A$2:$A$200&amp;"",$B64)/(Rules!$A$2:$A$200&lt;&gt;""),Rules!$A$2:$A$200),""))</f>
        <v/>
      </c>
      <c r="G64" s="3" t="str">
        <f aca="false">IF($B64="","",IF(D64="Uncategorized","⚠ Review",IF(IFERROR(LOOKUP(2^15,SEARCH(Rules!$A$2:$A$200&amp;"",$B64)/(Rules!$A$2:$A$200&lt;&gt;""),Rules!$C$2:$C$200),"")&lt;&gt;E64,"⚠ Check sign","OK")))</f>
        <v/>
      </c>
    </row>
    <row r="65" customFormat="false" ht="15" hidden="false" customHeight="false" outlineLevel="0" collapsed="false">
      <c r="A65" s="3"/>
      <c r="B65" s="3"/>
      <c r="C65" s="3"/>
      <c r="D65" s="3" t="str">
        <f aca="false">IF($B65="","",IFERROR(LOOKUP(2^15,SEARCH(Rules!$A$2:$A$200&amp;"",$B65)/(Rules!$A$2:$A$200&lt;&gt;""),Rules!$B$2:$B$200),"Uncategorized"))</f>
        <v/>
      </c>
      <c r="E65" s="3" t="str">
        <f aca="false">IF($B65="","",IF($C65&gt;=0,"Income","Expense"))</f>
        <v/>
      </c>
      <c r="F65" s="3" t="str">
        <f aca="false">IF($B65="","",IFERROR(LOOKUP(2^15,SEARCH(Rules!$A$2:$A$200&amp;"",$B65)/(Rules!$A$2:$A$200&lt;&gt;""),Rules!$A$2:$A$200),""))</f>
        <v/>
      </c>
      <c r="G65" s="3" t="str">
        <f aca="false">IF($B65="","",IF(D65="Uncategorized","⚠ Review",IF(IFERROR(LOOKUP(2^15,SEARCH(Rules!$A$2:$A$200&amp;"",$B65)/(Rules!$A$2:$A$200&lt;&gt;""),Rules!$C$2:$C$200),"")&lt;&gt;E65,"⚠ Check sign","OK")))</f>
        <v/>
      </c>
    </row>
    <row r="66" customFormat="false" ht="15" hidden="false" customHeight="false" outlineLevel="0" collapsed="false">
      <c r="A66" s="3"/>
      <c r="B66" s="3"/>
      <c r="C66" s="3"/>
      <c r="D66" s="3" t="str">
        <f aca="false">IF($B66="","",IFERROR(LOOKUP(2^15,SEARCH(Rules!$A$2:$A$200&amp;"",$B66)/(Rules!$A$2:$A$200&lt;&gt;""),Rules!$B$2:$B$200),"Uncategorized"))</f>
        <v/>
      </c>
      <c r="E66" s="3" t="str">
        <f aca="false">IF($B66="","",IF($C66&gt;=0,"Income","Expense"))</f>
        <v/>
      </c>
      <c r="F66" s="3" t="str">
        <f aca="false">IF($B66="","",IFERROR(LOOKUP(2^15,SEARCH(Rules!$A$2:$A$200&amp;"",$B66)/(Rules!$A$2:$A$200&lt;&gt;""),Rules!$A$2:$A$200),""))</f>
        <v/>
      </c>
      <c r="G66" s="3" t="str">
        <f aca="false">IF($B66="","",IF(D66="Uncategorized","⚠ Review",IF(IFERROR(LOOKUP(2^15,SEARCH(Rules!$A$2:$A$200&amp;"",$B66)/(Rules!$A$2:$A$200&lt;&gt;""),Rules!$C$2:$C$200),"")&lt;&gt;E66,"⚠ Check sign","OK")))</f>
        <v/>
      </c>
    </row>
    <row r="67" customFormat="false" ht="15" hidden="false" customHeight="false" outlineLevel="0" collapsed="false">
      <c r="A67" s="3"/>
      <c r="B67" s="3"/>
      <c r="C67" s="3"/>
      <c r="D67" s="3" t="str">
        <f aca="false">IF($B67="","",IFERROR(LOOKUP(2^15,SEARCH(Rules!$A$2:$A$200&amp;"",$B67)/(Rules!$A$2:$A$200&lt;&gt;""),Rules!$B$2:$B$200),"Uncategorized"))</f>
        <v/>
      </c>
      <c r="E67" s="3" t="str">
        <f aca="false">IF($B67="","",IF($C67&gt;=0,"Income","Expense"))</f>
        <v/>
      </c>
      <c r="F67" s="3" t="str">
        <f aca="false">IF($B67="","",IFERROR(LOOKUP(2^15,SEARCH(Rules!$A$2:$A$200&amp;"",$B67)/(Rules!$A$2:$A$200&lt;&gt;""),Rules!$A$2:$A$200),""))</f>
        <v/>
      </c>
      <c r="G67" s="3" t="str">
        <f aca="false">IF($B67="","",IF(D67="Uncategorized","⚠ Review",IF(IFERROR(LOOKUP(2^15,SEARCH(Rules!$A$2:$A$200&amp;"",$B67)/(Rules!$A$2:$A$200&lt;&gt;""),Rules!$C$2:$C$200),"")&lt;&gt;E67,"⚠ Check sign","OK")))</f>
        <v/>
      </c>
    </row>
    <row r="68" customFormat="false" ht="15" hidden="false" customHeight="false" outlineLevel="0" collapsed="false">
      <c r="A68" s="3"/>
      <c r="B68" s="3"/>
      <c r="C68" s="3"/>
      <c r="D68" s="3" t="str">
        <f aca="false">IF($B68="","",IFERROR(LOOKUP(2^15,SEARCH(Rules!$A$2:$A$200&amp;"",$B68)/(Rules!$A$2:$A$200&lt;&gt;""),Rules!$B$2:$B$200),"Uncategorized"))</f>
        <v/>
      </c>
      <c r="E68" s="3" t="str">
        <f aca="false">IF($B68="","",IF($C68&gt;=0,"Income","Expense"))</f>
        <v/>
      </c>
      <c r="F68" s="3" t="str">
        <f aca="false">IF($B68="","",IFERROR(LOOKUP(2^15,SEARCH(Rules!$A$2:$A$200&amp;"",$B68)/(Rules!$A$2:$A$200&lt;&gt;""),Rules!$A$2:$A$200),""))</f>
        <v/>
      </c>
      <c r="G68" s="3" t="str">
        <f aca="false">IF($B68="","",IF(D68="Uncategorized","⚠ Review",IF(IFERROR(LOOKUP(2^15,SEARCH(Rules!$A$2:$A$200&amp;"",$B68)/(Rules!$A$2:$A$200&lt;&gt;""),Rules!$C$2:$C$200),"")&lt;&gt;E68,"⚠ Check sign","OK")))</f>
        <v/>
      </c>
    </row>
    <row r="69" customFormat="false" ht="15" hidden="false" customHeight="false" outlineLevel="0" collapsed="false">
      <c r="A69" s="3"/>
      <c r="B69" s="3"/>
      <c r="C69" s="3"/>
      <c r="D69" s="3" t="str">
        <f aca="false">IF($B69="","",IFERROR(LOOKUP(2^15,SEARCH(Rules!$A$2:$A$200&amp;"",$B69)/(Rules!$A$2:$A$200&lt;&gt;""),Rules!$B$2:$B$200),"Uncategorized"))</f>
        <v/>
      </c>
      <c r="E69" s="3" t="str">
        <f aca="false">IF($B69="","",IF($C69&gt;=0,"Income","Expense"))</f>
        <v/>
      </c>
      <c r="F69" s="3" t="str">
        <f aca="false">IF($B69="","",IFERROR(LOOKUP(2^15,SEARCH(Rules!$A$2:$A$200&amp;"",$B69)/(Rules!$A$2:$A$200&lt;&gt;""),Rules!$A$2:$A$200),""))</f>
        <v/>
      </c>
      <c r="G69" s="3" t="str">
        <f aca="false">IF($B69="","",IF(D69="Uncategorized","⚠ Review",IF(IFERROR(LOOKUP(2^15,SEARCH(Rules!$A$2:$A$200&amp;"",$B69)/(Rules!$A$2:$A$200&lt;&gt;""),Rules!$C$2:$C$200),"")&lt;&gt;E69,"⚠ Check sign","OK")))</f>
        <v/>
      </c>
    </row>
    <row r="70" customFormat="false" ht="15" hidden="false" customHeight="false" outlineLevel="0" collapsed="false">
      <c r="A70" s="3"/>
      <c r="B70" s="3"/>
      <c r="C70" s="3"/>
      <c r="D70" s="3" t="str">
        <f aca="false">IF($B70="","",IFERROR(LOOKUP(2^15,SEARCH(Rules!$A$2:$A$200&amp;"",$B70)/(Rules!$A$2:$A$200&lt;&gt;""),Rules!$B$2:$B$200),"Uncategorized"))</f>
        <v/>
      </c>
      <c r="E70" s="3" t="str">
        <f aca="false">IF($B70="","",IF($C70&gt;=0,"Income","Expense"))</f>
        <v/>
      </c>
      <c r="F70" s="3" t="str">
        <f aca="false">IF($B70="","",IFERROR(LOOKUP(2^15,SEARCH(Rules!$A$2:$A$200&amp;"",$B70)/(Rules!$A$2:$A$200&lt;&gt;""),Rules!$A$2:$A$200),""))</f>
        <v/>
      </c>
      <c r="G70" s="3" t="str">
        <f aca="false">IF($B70="","",IF(D70="Uncategorized","⚠ Review",IF(IFERROR(LOOKUP(2^15,SEARCH(Rules!$A$2:$A$200&amp;"",$B70)/(Rules!$A$2:$A$200&lt;&gt;""),Rules!$C$2:$C$200),"")&lt;&gt;E70,"⚠ Check sign","OK")))</f>
        <v/>
      </c>
    </row>
    <row r="71" customFormat="false" ht="15" hidden="false" customHeight="false" outlineLevel="0" collapsed="false">
      <c r="A71" s="3"/>
      <c r="B71" s="3"/>
      <c r="C71" s="3"/>
      <c r="D71" s="3" t="str">
        <f aca="false">IF($B71="","",IFERROR(LOOKUP(2^15,SEARCH(Rules!$A$2:$A$200&amp;"",$B71)/(Rules!$A$2:$A$200&lt;&gt;""),Rules!$B$2:$B$200),"Uncategorized"))</f>
        <v/>
      </c>
      <c r="E71" s="3" t="str">
        <f aca="false">IF($B71="","",IF($C71&gt;=0,"Income","Expense"))</f>
        <v/>
      </c>
      <c r="F71" s="3" t="str">
        <f aca="false">IF($B71="","",IFERROR(LOOKUP(2^15,SEARCH(Rules!$A$2:$A$200&amp;"",$B71)/(Rules!$A$2:$A$200&lt;&gt;""),Rules!$A$2:$A$200),""))</f>
        <v/>
      </c>
      <c r="G71" s="3" t="str">
        <f aca="false">IF($B71="","",IF(D71="Uncategorized","⚠ Review",IF(IFERROR(LOOKUP(2^15,SEARCH(Rules!$A$2:$A$200&amp;"",$B71)/(Rules!$A$2:$A$200&lt;&gt;""),Rules!$C$2:$C$200),"")&lt;&gt;E71,"⚠ Check sign","OK")))</f>
        <v/>
      </c>
    </row>
    <row r="72" customFormat="false" ht="15" hidden="false" customHeight="false" outlineLevel="0" collapsed="false">
      <c r="A72" s="3"/>
      <c r="B72" s="3"/>
      <c r="C72" s="3"/>
      <c r="D72" s="3" t="str">
        <f aca="false">IF($B72="","",IFERROR(LOOKUP(2^15,SEARCH(Rules!$A$2:$A$200&amp;"",$B72)/(Rules!$A$2:$A$200&lt;&gt;""),Rules!$B$2:$B$200),"Uncategorized"))</f>
        <v/>
      </c>
      <c r="E72" s="3" t="str">
        <f aca="false">IF($B72="","",IF($C72&gt;=0,"Income","Expense"))</f>
        <v/>
      </c>
      <c r="F72" s="3" t="str">
        <f aca="false">IF($B72="","",IFERROR(LOOKUP(2^15,SEARCH(Rules!$A$2:$A$200&amp;"",$B72)/(Rules!$A$2:$A$200&lt;&gt;""),Rules!$A$2:$A$200),""))</f>
        <v/>
      </c>
      <c r="G72" s="3" t="str">
        <f aca="false">IF($B72="","",IF(D72="Uncategorized","⚠ Review",IF(IFERROR(LOOKUP(2^15,SEARCH(Rules!$A$2:$A$200&amp;"",$B72)/(Rules!$A$2:$A$200&lt;&gt;""),Rules!$C$2:$C$200),"")&lt;&gt;E72,"⚠ Check sign","OK")))</f>
        <v/>
      </c>
    </row>
    <row r="73" customFormat="false" ht="15" hidden="false" customHeight="false" outlineLevel="0" collapsed="false">
      <c r="A73" s="3"/>
      <c r="B73" s="3"/>
      <c r="C73" s="3"/>
      <c r="D73" s="3" t="str">
        <f aca="false">IF($B73="","",IFERROR(LOOKUP(2^15,SEARCH(Rules!$A$2:$A$200&amp;"",$B73)/(Rules!$A$2:$A$200&lt;&gt;""),Rules!$B$2:$B$200),"Uncategorized"))</f>
        <v/>
      </c>
      <c r="E73" s="3" t="str">
        <f aca="false">IF($B73="","",IF($C73&gt;=0,"Income","Expense"))</f>
        <v/>
      </c>
      <c r="F73" s="3" t="str">
        <f aca="false">IF($B73="","",IFERROR(LOOKUP(2^15,SEARCH(Rules!$A$2:$A$200&amp;"",$B73)/(Rules!$A$2:$A$200&lt;&gt;""),Rules!$A$2:$A$200),""))</f>
        <v/>
      </c>
      <c r="G73" s="3" t="str">
        <f aca="false">IF($B73="","",IF(D73="Uncategorized","⚠ Review",IF(IFERROR(LOOKUP(2^15,SEARCH(Rules!$A$2:$A$200&amp;"",$B73)/(Rules!$A$2:$A$200&lt;&gt;""),Rules!$C$2:$C$200),"")&lt;&gt;E73,"⚠ Check sign","OK")))</f>
        <v/>
      </c>
    </row>
    <row r="74" customFormat="false" ht="15" hidden="false" customHeight="false" outlineLevel="0" collapsed="false">
      <c r="A74" s="3"/>
      <c r="B74" s="3"/>
      <c r="C74" s="3"/>
      <c r="D74" s="3" t="str">
        <f aca="false">IF($B74="","",IFERROR(LOOKUP(2^15,SEARCH(Rules!$A$2:$A$200&amp;"",$B74)/(Rules!$A$2:$A$200&lt;&gt;""),Rules!$B$2:$B$200),"Uncategorized"))</f>
        <v/>
      </c>
      <c r="E74" s="3" t="str">
        <f aca="false">IF($B74="","",IF($C74&gt;=0,"Income","Expense"))</f>
        <v/>
      </c>
      <c r="F74" s="3" t="str">
        <f aca="false">IF($B74="","",IFERROR(LOOKUP(2^15,SEARCH(Rules!$A$2:$A$200&amp;"",$B74)/(Rules!$A$2:$A$200&lt;&gt;""),Rules!$A$2:$A$200),""))</f>
        <v/>
      </c>
      <c r="G74" s="3" t="str">
        <f aca="false">IF($B74="","",IF(D74="Uncategorized","⚠ Review",IF(IFERROR(LOOKUP(2^15,SEARCH(Rules!$A$2:$A$200&amp;"",$B74)/(Rules!$A$2:$A$200&lt;&gt;""),Rules!$C$2:$C$200),"")&lt;&gt;E74,"⚠ Check sign","OK")))</f>
        <v/>
      </c>
    </row>
    <row r="75" customFormat="false" ht="15" hidden="false" customHeight="false" outlineLevel="0" collapsed="false">
      <c r="A75" s="3"/>
      <c r="B75" s="3"/>
      <c r="C75" s="3"/>
      <c r="D75" s="3" t="str">
        <f aca="false">IF($B75="","",IFERROR(LOOKUP(2^15,SEARCH(Rules!$A$2:$A$200&amp;"",$B75)/(Rules!$A$2:$A$200&lt;&gt;""),Rules!$B$2:$B$200),"Uncategorized"))</f>
        <v/>
      </c>
      <c r="E75" s="3" t="str">
        <f aca="false">IF($B75="","",IF($C75&gt;=0,"Income","Expense"))</f>
        <v/>
      </c>
      <c r="F75" s="3" t="str">
        <f aca="false">IF($B75="","",IFERROR(LOOKUP(2^15,SEARCH(Rules!$A$2:$A$200&amp;"",$B75)/(Rules!$A$2:$A$200&lt;&gt;""),Rules!$A$2:$A$200),""))</f>
        <v/>
      </c>
      <c r="G75" s="3" t="str">
        <f aca="false">IF($B75="","",IF(D75="Uncategorized","⚠ Review",IF(IFERROR(LOOKUP(2^15,SEARCH(Rules!$A$2:$A$200&amp;"",$B75)/(Rules!$A$2:$A$200&lt;&gt;""),Rules!$C$2:$C$200),"")&lt;&gt;E75,"⚠ Check sign","OK")))</f>
        <v/>
      </c>
    </row>
    <row r="76" customFormat="false" ht="15" hidden="false" customHeight="false" outlineLevel="0" collapsed="false">
      <c r="A76" s="3"/>
      <c r="B76" s="3"/>
      <c r="C76" s="3"/>
      <c r="D76" s="3" t="str">
        <f aca="false">IF($B76="","",IFERROR(LOOKUP(2^15,SEARCH(Rules!$A$2:$A$200&amp;"",$B76)/(Rules!$A$2:$A$200&lt;&gt;""),Rules!$B$2:$B$200),"Uncategorized"))</f>
        <v/>
      </c>
      <c r="E76" s="3" t="str">
        <f aca="false">IF($B76="","",IF($C76&gt;=0,"Income","Expense"))</f>
        <v/>
      </c>
      <c r="F76" s="3" t="str">
        <f aca="false">IF($B76="","",IFERROR(LOOKUP(2^15,SEARCH(Rules!$A$2:$A$200&amp;"",$B76)/(Rules!$A$2:$A$200&lt;&gt;""),Rules!$A$2:$A$200),""))</f>
        <v/>
      </c>
      <c r="G76" s="3" t="str">
        <f aca="false">IF($B76="","",IF(D76="Uncategorized","⚠ Review",IF(IFERROR(LOOKUP(2^15,SEARCH(Rules!$A$2:$A$200&amp;"",$B76)/(Rules!$A$2:$A$200&lt;&gt;""),Rules!$C$2:$C$200),"")&lt;&gt;E76,"⚠ Check sign","OK")))</f>
        <v/>
      </c>
    </row>
    <row r="77" customFormat="false" ht="15" hidden="false" customHeight="false" outlineLevel="0" collapsed="false">
      <c r="A77" s="3"/>
      <c r="B77" s="3"/>
      <c r="C77" s="3"/>
      <c r="D77" s="3" t="str">
        <f aca="false">IF($B77="","",IFERROR(LOOKUP(2^15,SEARCH(Rules!$A$2:$A$200&amp;"",$B77)/(Rules!$A$2:$A$200&lt;&gt;""),Rules!$B$2:$B$200),"Uncategorized"))</f>
        <v/>
      </c>
      <c r="E77" s="3" t="str">
        <f aca="false">IF($B77="","",IF($C77&gt;=0,"Income","Expense"))</f>
        <v/>
      </c>
      <c r="F77" s="3" t="str">
        <f aca="false">IF($B77="","",IFERROR(LOOKUP(2^15,SEARCH(Rules!$A$2:$A$200&amp;"",$B77)/(Rules!$A$2:$A$200&lt;&gt;""),Rules!$A$2:$A$200),""))</f>
        <v/>
      </c>
      <c r="G77" s="3" t="str">
        <f aca="false">IF($B77="","",IF(D77="Uncategorized","⚠ Review",IF(IFERROR(LOOKUP(2^15,SEARCH(Rules!$A$2:$A$200&amp;"",$B77)/(Rules!$A$2:$A$200&lt;&gt;""),Rules!$C$2:$C$200),"")&lt;&gt;E77,"⚠ Check sign","OK")))</f>
        <v/>
      </c>
    </row>
    <row r="78" customFormat="false" ht="15" hidden="false" customHeight="false" outlineLevel="0" collapsed="false">
      <c r="A78" s="3"/>
      <c r="B78" s="3"/>
      <c r="C78" s="3"/>
      <c r="D78" s="3" t="str">
        <f aca="false">IF($B78="","",IFERROR(LOOKUP(2^15,SEARCH(Rules!$A$2:$A$200&amp;"",$B78)/(Rules!$A$2:$A$200&lt;&gt;""),Rules!$B$2:$B$200),"Uncategorized"))</f>
        <v/>
      </c>
      <c r="E78" s="3" t="str">
        <f aca="false">IF($B78="","",IF($C78&gt;=0,"Income","Expense"))</f>
        <v/>
      </c>
      <c r="F78" s="3" t="str">
        <f aca="false">IF($B78="","",IFERROR(LOOKUP(2^15,SEARCH(Rules!$A$2:$A$200&amp;"",$B78)/(Rules!$A$2:$A$200&lt;&gt;""),Rules!$A$2:$A$200),""))</f>
        <v/>
      </c>
      <c r="G78" s="3" t="str">
        <f aca="false">IF($B78="","",IF(D78="Uncategorized","⚠ Review",IF(IFERROR(LOOKUP(2^15,SEARCH(Rules!$A$2:$A$200&amp;"",$B78)/(Rules!$A$2:$A$200&lt;&gt;""),Rules!$C$2:$C$200),"")&lt;&gt;E78,"⚠ Check sign","OK")))</f>
        <v/>
      </c>
    </row>
    <row r="79" customFormat="false" ht="15" hidden="false" customHeight="false" outlineLevel="0" collapsed="false">
      <c r="A79" s="3"/>
      <c r="B79" s="3"/>
      <c r="C79" s="3"/>
      <c r="D79" s="3" t="str">
        <f aca="false">IF($B79="","",IFERROR(LOOKUP(2^15,SEARCH(Rules!$A$2:$A$200&amp;"",$B79)/(Rules!$A$2:$A$200&lt;&gt;""),Rules!$B$2:$B$200),"Uncategorized"))</f>
        <v/>
      </c>
      <c r="E79" s="3" t="str">
        <f aca="false">IF($B79="","",IF($C79&gt;=0,"Income","Expense"))</f>
        <v/>
      </c>
      <c r="F79" s="3" t="str">
        <f aca="false">IF($B79="","",IFERROR(LOOKUP(2^15,SEARCH(Rules!$A$2:$A$200&amp;"",$B79)/(Rules!$A$2:$A$200&lt;&gt;""),Rules!$A$2:$A$200),""))</f>
        <v/>
      </c>
      <c r="G79" s="3" t="str">
        <f aca="false">IF($B79="","",IF(D79="Uncategorized","⚠ Review",IF(IFERROR(LOOKUP(2^15,SEARCH(Rules!$A$2:$A$200&amp;"",$B79)/(Rules!$A$2:$A$200&lt;&gt;""),Rules!$C$2:$C$200),"")&lt;&gt;E79,"⚠ Check sign","OK")))</f>
        <v/>
      </c>
    </row>
    <row r="80" customFormat="false" ht="15" hidden="false" customHeight="false" outlineLevel="0" collapsed="false">
      <c r="A80" s="3"/>
      <c r="B80" s="3"/>
      <c r="C80" s="3"/>
      <c r="D80" s="3" t="str">
        <f aca="false">IF($B80="","",IFERROR(LOOKUP(2^15,SEARCH(Rules!$A$2:$A$200&amp;"",$B80)/(Rules!$A$2:$A$200&lt;&gt;""),Rules!$B$2:$B$200),"Uncategorized"))</f>
        <v/>
      </c>
      <c r="E80" s="3" t="str">
        <f aca="false">IF($B80="","",IF($C80&gt;=0,"Income","Expense"))</f>
        <v/>
      </c>
      <c r="F80" s="3" t="str">
        <f aca="false">IF($B80="","",IFERROR(LOOKUP(2^15,SEARCH(Rules!$A$2:$A$200&amp;"",$B80)/(Rules!$A$2:$A$200&lt;&gt;""),Rules!$A$2:$A$200),""))</f>
        <v/>
      </c>
      <c r="G80" s="3" t="str">
        <f aca="false">IF($B80="","",IF(D80="Uncategorized","⚠ Review",IF(IFERROR(LOOKUP(2^15,SEARCH(Rules!$A$2:$A$200&amp;"",$B80)/(Rules!$A$2:$A$200&lt;&gt;""),Rules!$C$2:$C$200),"")&lt;&gt;E80,"⚠ Check sign","OK")))</f>
        <v/>
      </c>
    </row>
    <row r="81" customFormat="false" ht="15" hidden="false" customHeight="false" outlineLevel="0" collapsed="false">
      <c r="A81" s="3"/>
      <c r="B81" s="3"/>
      <c r="C81" s="3"/>
      <c r="D81" s="3" t="str">
        <f aca="false">IF($B81="","",IFERROR(LOOKUP(2^15,SEARCH(Rules!$A$2:$A$200&amp;"",$B81)/(Rules!$A$2:$A$200&lt;&gt;""),Rules!$B$2:$B$200),"Uncategorized"))</f>
        <v/>
      </c>
      <c r="E81" s="3" t="str">
        <f aca="false">IF($B81="","",IF($C81&gt;=0,"Income","Expense"))</f>
        <v/>
      </c>
      <c r="F81" s="3" t="str">
        <f aca="false">IF($B81="","",IFERROR(LOOKUP(2^15,SEARCH(Rules!$A$2:$A$200&amp;"",$B81)/(Rules!$A$2:$A$200&lt;&gt;""),Rules!$A$2:$A$200),""))</f>
        <v/>
      </c>
      <c r="G81" s="3" t="str">
        <f aca="false">IF($B81="","",IF(D81="Uncategorized","⚠ Review",IF(IFERROR(LOOKUP(2^15,SEARCH(Rules!$A$2:$A$200&amp;"",$B81)/(Rules!$A$2:$A$200&lt;&gt;""),Rules!$C$2:$C$200),"")&lt;&gt;E81,"⚠ Check sign","OK")))</f>
        <v/>
      </c>
    </row>
    <row r="82" customFormat="false" ht="15" hidden="false" customHeight="false" outlineLevel="0" collapsed="false">
      <c r="A82" s="3"/>
      <c r="B82" s="3"/>
      <c r="C82" s="3"/>
      <c r="D82" s="3" t="str">
        <f aca="false">IF($B82="","",IFERROR(LOOKUP(2^15,SEARCH(Rules!$A$2:$A$200&amp;"",$B82)/(Rules!$A$2:$A$200&lt;&gt;""),Rules!$B$2:$B$200),"Uncategorized"))</f>
        <v/>
      </c>
      <c r="E82" s="3" t="str">
        <f aca="false">IF($B82="","",IF($C82&gt;=0,"Income","Expense"))</f>
        <v/>
      </c>
      <c r="F82" s="3" t="str">
        <f aca="false">IF($B82="","",IFERROR(LOOKUP(2^15,SEARCH(Rules!$A$2:$A$200&amp;"",$B82)/(Rules!$A$2:$A$200&lt;&gt;""),Rules!$A$2:$A$200),""))</f>
        <v/>
      </c>
      <c r="G82" s="3" t="str">
        <f aca="false">IF($B82="","",IF(D82="Uncategorized","⚠ Review",IF(IFERROR(LOOKUP(2^15,SEARCH(Rules!$A$2:$A$200&amp;"",$B82)/(Rules!$A$2:$A$200&lt;&gt;""),Rules!$C$2:$C$200),"")&lt;&gt;E82,"⚠ Check sign","OK")))</f>
        <v/>
      </c>
    </row>
    <row r="83" customFormat="false" ht="15" hidden="false" customHeight="false" outlineLevel="0" collapsed="false">
      <c r="A83" s="3"/>
      <c r="B83" s="3"/>
      <c r="C83" s="3"/>
      <c r="D83" s="3" t="str">
        <f aca="false">IF($B83="","",IFERROR(LOOKUP(2^15,SEARCH(Rules!$A$2:$A$200&amp;"",$B83)/(Rules!$A$2:$A$200&lt;&gt;""),Rules!$B$2:$B$200),"Uncategorized"))</f>
        <v/>
      </c>
      <c r="E83" s="3" t="str">
        <f aca="false">IF($B83="","",IF($C83&gt;=0,"Income","Expense"))</f>
        <v/>
      </c>
      <c r="F83" s="3" t="str">
        <f aca="false">IF($B83="","",IFERROR(LOOKUP(2^15,SEARCH(Rules!$A$2:$A$200&amp;"",$B83)/(Rules!$A$2:$A$200&lt;&gt;""),Rules!$A$2:$A$200),""))</f>
        <v/>
      </c>
      <c r="G83" s="3" t="str">
        <f aca="false">IF($B83="","",IF(D83="Uncategorized","⚠ Review",IF(IFERROR(LOOKUP(2^15,SEARCH(Rules!$A$2:$A$200&amp;"",$B83)/(Rules!$A$2:$A$200&lt;&gt;""),Rules!$C$2:$C$200),"")&lt;&gt;E83,"⚠ Check sign","OK")))</f>
        <v/>
      </c>
    </row>
    <row r="84" customFormat="false" ht="15" hidden="false" customHeight="false" outlineLevel="0" collapsed="false">
      <c r="A84" s="3"/>
      <c r="B84" s="3"/>
      <c r="C84" s="3"/>
      <c r="D84" s="3" t="str">
        <f aca="false">IF($B84="","",IFERROR(LOOKUP(2^15,SEARCH(Rules!$A$2:$A$200&amp;"",$B84)/(Rules!$A$2:$A$200&lt;&gt;""),Rules!$B$2:$B$200),"Uncategorized"))</f>
        <v/>
      </c>
      <c r="E84" s="3" t="str">
        <f aca="false">IF($B84="","",IF($C84&gt;=0,"Income","Expense"))</f>
        <v/>
      </c>
      <c r="F84" s="3" t="str">
        <f aca="false">IF($B84="","",IFERROR(LOOKUP(2^15,SEARCH(Rules!$A$2:$A$200&amp;"",$B84)/(Rules!$A$2:$A$200&lt;&gt;""),Rules!$A$2:$A$200),""))</f>
        <v/>
      </c>
      <c r="G84" s="3" t="str">
        <f aca="false">IF($B84="","",IF(D84="Uncategorized","⚠ Review",IF(IFERROR(LOOKUP(2^15,SEARCH(Rules!$A$2:$A$200&amp;"",$B84)/(Rules!$A$2:$A$200&lt;&gt;""),Rules!$C$2:$C$200),"")&lt;&gt;E84,"⚠ Check sign","OK")))</f>
        <v/>
      </c>
    </row>
    <row r="85" customFormat="false" ht="15" hidden="false" customHeight="false" outlineLevel="0" collapsed="false">
      <c r="A85" s="3"/>
      <c r="B85" s="3"/>
      <c r="C85" s="3"/>
      <c r="D85" s="3" t="str">
        <f aca="false">IF($B85="","",IFERROR(LOOKUP(2^15,SEARCH(Rules!$A$2:$A$200&amp;"",$B85)/(Rules!$A$2:$A$200&lt;&gt;""),Rules!$B$2:$B$200),"Uncategorized"))</f>
        <v/>
      </c>
      <c r="E85" s="3" t="str">
        <f aca="false">IF($B85="","",IF($C85&gt;=0,"Income","Expense"))</f>
        <v/>
      </c>
      <c r="F85" s="3" t="str">
        <f aca="false">IF($B85="","",IFERROR(LOOKUP(2^15,SEARCH(Rules!$A$2:$A$200&amp;"",$B85)/(Rules!$A$2:$A$200&lt;&gt;""),Rules!$A$2:$A$200),""))</f>
        <v/>
      </c>
      <c r="G85" s="3" t="str">
        <f aca="false">IF($B85="","",IF(D85="Uncategorized","⚠ Review",IF(IFERROR(LOOKUP(2^15,SEARCH(Rules!$A$2:$A$200&amp;"",$B85)/(Rules!$A$2:$A$200&lt;&gt;""),Rules!$C$2:$C$200),"")&lt;&gt;E85,"⚠ Check sign","OK")))</f>
        <v/>
      </c>
    </row>
    <row r="86" customFormat="false" ht="15" hidden="false" customHeight="false" outlineLevel="0" collapsed="false">
      <c r="A86" s="3"/>
      <c r="B86" s="3"/>
      <c r="C86" s="3"/>
      <c r="D86" s="3" t="str">
        <f aca="false">IF($B86="","",IFERROR(LOOKUP(2^15,SEARCH(Rules!$A$2:$A$200&amp;"",$B86)/(Rules!$A$2:$A$200&lt;&gt;""),Rules!$B$2:$B$200),"Uncategorized"))</f>
        <v/>
      </c>
      <c r="E86" s="3" t="str">
        <f aca="false">IF($B86="","",IF($C86&gt;=0,"Income","Expense"))</f>
        <v/>
      </c>
      <c r="F86" s="3" t="str">
        <f aca="false">IF($B86="","",IFERROR(LOOKUP(2^15,SEARCH(Rules!$A$2:$A$200&amp;"",$B86)/(Rules!$A$2:$A$200&lt;&gt;""),Rules!$A$2:$A$200),""))</f>
        <v/>
      </c>
      <c r="G86" s="3" t="str">
        <f aca="false">IF($B86="","",IF(D86="Uncategorized","⚠ Review",IF(IFERROR(LOOKUP(2^15,SEARCH(Rules!$A$2:$A$200&amp;"",$B86)/(Rules!$A$2:$A$200&lt;&gt;""),Rules!$C$2:$C$200),"")&lt;&gt;E86,"⚠ Check sign","OK")))</f>
        <v/>
      </c>
    </row>
    <row r="87" customFormat="false" ht="15" hidden="false" customHeight="false" outlineLevel="0" collapsed="false">
      <c r="A87" s="3"/>
      <c r="B87" s="3"/>
      <c r="C87" s="3"/>
      <c r="D87" s="3" t="str">
        <f aca="false">IF($B87="","",IFERROR(LOOKUP(2^15,SEARCH(Rules!$A$2:$A$200&amp;"",$B87)/(Rules!$A$2:$A$200&lt;&gt;""),Rules!$B$2:$B$200),"Uncategorized"))</f>
        <v/>
      </c>
      <c r="E87" s="3" t="str">
        <f aca="false">IF($B87="","",IF($C87&gt;=0,"Income","Expense"))</f>
        <v/>
      </c>
      <c r="F87" s="3" t="str">
        <f aca="false">IF($B87="","",IFERROR(LOOKUP(2^15,SEARCH(Rules!$A$2:$A$200&amp;"",$B87)/(Rules!$A$2:$A$200&lt;&gt;""),Rules!$A$2:$A$200),""))</f>
        <v/>
      </c>
      <c r="G87" s="3" t="str">
        <f aca="false">IF($B87="","",IF(D87="Uncategorized","⚠ Review",IF(IFERROR(LOOKUP(2^15,SEARCH(Rules!$A$2:$A$200&amp;"",$B87)/(Rules!$A$2:$A$200&lt;&gt;""),Rules!$C$2:$C$200),"")&lt;&gt;E87,"⚠ Check sign","OK")))</f>
        <v/>
      </c>
    </row>
    <row r="88" customFormat="false" ht="15" hidden="false" customHeight="false" outlineLevel="0" collapsed="false">
      <c r="A88" s="3"/>
      <c r="B88" s="3"/>
      <c r="C88" s="3"/>
      <c r="D88" s="3" t="str">
        <f aca="false">IF($B88="","",IFERROR(LOOKUP(2^15,SEARCH(Rules!$A$2:$A$200&amp;"",$B88)/(Rules!$A$2:$A$200&lt;&gt;""),Rules!$B$2:$B$200),"Uncategorized"))</f>
        <v/>
      </c>
      <c r="E88" s="3" t="str">
        <f aca="false">IF($B88="","",IF($C88&gt;=0,"Income","Expense"))</f>
        <v/>
      </c>
      <c r="F88" s="3" t="str">
        <f aca="false">IF($B88="","",IFERROR(LOOKUP(2^15,SEARCH(Rules!$A$2:$A$200&amp;"",$B88)/(Rules!$A$2:$A$200&lt;&gt;""),Rules!$A$2:$A$200),""))</f>
        <v/>
      </c>
      <c r="G88" s="3" t="str">
        <f aca="false">IF($B88="","",IF(D88="Uncategorized","⚠ Review",IF(IFERROR(LOOKUP(2^15,SEARCH(Rules!$A$2:$A$200&amp;"",$B88)/(Rules!$A$2:$A$200&lt;&gt;""),Rules!$C$2:$C$200),"")&lt;&gt;E88,"⚠ Check sign","OK")))</f>
        <v/>
      </c>
    </row>
    <row r="89" customFormat="false" ht="15" hidden="false" customHeight="false" outlineLevel="0" collapsed="false">
      <c r="A89" s="3"/>
      <c r="B89" s="3"/>
      <c r="C89" s="3"/>
      <c r="D89" s="3" t="str">
        <f aca="false">IF($B89="","",IFERROR(LOOKUP(2^15,SEARCH(Rules!$A$2:$A$200&amp;"",$B89)/(Rules!$A$2:$A$200&lt;&gt;""),Rules!$B$2:$B$200),"Uncategorized"))</f>
        <v/>
      </c>
      <c r="E89" s="3" t="str">
        <f aca="false">IF($B89="","",IF($C89&gt;=0,"Income","Expense"))</f>
        <v/>
      </c>
      <c r="F89" s="3" t="str">
        <f aca="false">IF($B89="","",IFERROR(LOOKUP(2^15,SEARCH(Rules!$A$2:$A$200&amp;"",$B89)/(Rules!$A$2:$A$200&lt;&gt;""),Rules!$A$2:$A$200),""))</f>
        <v/>
      </c>
      <c r="G89" s="3" t="str">
        <f aca="false">IF($B89="","",IF(D89="Uncategorized","⚠ Review",IF(IFERROR(LOOKUP(2^15,SEARCH(Rules!$A$2:$A$200&amp;"",$B89)/(Rules!$A$2:$A$200&lt;&gt;""),Rules!$C$2:$C$200),"")&lt;&gt;E89,"⚠ Check sign","OK")))</f>
        <v/>
      </c>
    </row>
    <row r="90" customFormat="false" ht="15" hidden="false" customHeight="false" outlineLevel="0" collapsed="false">
      <c r="A90" s="3"/>
      <c r="B90" s="3"/>
      <c r="C90" s="3"/>
      <c r="D90" s="3" t="str">
        <f aca="false">IF($B90="","",IFERROR(LOOKUP(2^15,SEARCH(Rules!$A$2:$A$200&amp;"",$B90)/(Rules!$A$2:$A$200&lt;&gt;""),Rules!$B$2:$B$200),"Uncategorized"))</f>
        <v/>
      </c>
      <c r="E90" s="3" t="str">
        <f aca="false">IF($B90="","",IF($C90&gt;=0,"Income","Expense"))</f>
        <v/>
      </c>
      <c r="F90" s="3" t="str">
        <f aca="false">IF($B90="","",IFERROR(LOOKUP(2^15,SEARCH(Rules!$A$2:$A$200&amp;"",$B90)/(Rules!$A$2:$A$200&lt;&gt;""),Rules!$A$2:$A$200),""))</f>
        <v/>
      </c>
      <c r="G90" s="3" t="str">
        <f aca="false">IF($B90="","",IF(D90="Uncategorized","⚠ Review",IF(IFERROR(LOOKUP(2^15,SEARCH(Rules!$A$2:$A$200&amp;"",$B90)/(Rules!$A$2:$A$200&lt;&gt;""),Rules!$C$2:$C$200),"")&lt;&gt;E90,"⚠ Check sign","OK")))</f>
        <v/>
      </c>
    </row>
    <row r="91" customFormat="false" ht="15" hidden="false" customHeight="false" outlineLevel="0" collapsed="false">
      <c r="A91" s="3"/>
      <c r="B91" s="3"/>
      <c r="C91" s="3"/>
      <c r="D91" s="3" t="str">
        <f aca="false">IF($B91="","",IFERROR(LOOKUP(2^15,SEARCH(Rules!$A$2:$A$200&amp;"",$B91)/(Rules!$A$2:$A$200&lt;&gt;""),Rules!$B$2:$B$200),"Uncategorized"))</f>
        <v/>
      </c>
      <c r="E91" s="3" t="str">
        <f aca="false">IF($B91="","",IF($C91&gt;=0,"Income","Expense"))</f>
        <v/>
      </c>
      <c r="F91" s="3" t="str">
        <f aca="false">IF($B91="","",IFERROR(LOOKUP(2^15,SEARCH(Rules!$A$2:$A$200&amp;"",$B91)/(Rules!$A$2:$A$200&lt;&gt;""),Rules!$A$2:$A$200),""))</f>
        <v/>
      </c>
      <c r="G91" s="3" t="str">
        <f aca="false">IF($B91="","",IF(D91="Uncategorized","⚠ Review",IF(IFERROR(LOOKUP(2^15,SEARCH(Rules!$A$2:$A$200&amp;"",$B91)/(Rules!$A$2:$A$200&lt;&gt;""),Rules!$C$2:$C$200),"")&lt;&gt;E91,"⚠ Check sign","OK")))</f>
        <v/>
      </c>
    </row>
    <row r="92" customFormat="false" ht="15" hidden="false" customHeight="false" outlineLevel="0" collapsed="false">
      <c r="A92" s="3"/>
      <c r="B92" s="3"/>
      <c r="C92" s="3"/>
      <c r="D92" s="3" t="str">
        <f aca="false">IF($B92="","",IFERROR(LOOKUP(2^15,SEARCH(Rules!$A$2:$A$200&amp;"",$B92)/(Rules!$A$2:$A$200&lt;&gt;""),Rules!$B$2:$B$200),"Uncategorized"))</f>
        <v/>
      </c>
      <c r="E92" s="3" t="str">
        <f aca="false">IF($B92="","",IF($C92&gt;=0,"Income","Expense"))</f>
        <v/>
      </c>
      <c r="F92" s="3" t="str">
        <f aca="false">IF($B92="","",IFERROR(LOOKUP(2^15,SEARCH(Rules!$A$2:$A$200&amp;"",$B92)/(Rules!$A$2:$A$200&lt;&gt;""),Rules!$A$2:$A$200),""))</f>
        <v/>
      </c>
      <c r="G92" s="3" t="str">
        <f aca="false">IF($B92="","",IF(D92="Uncategorized","⚠ Review",IF(IFERROR(LOOKUP(2^15,SEARCH(Rules!$A$2:$A$200&amp;"",$B92)/(Rules!$A$2:$A$200&lt;&gt;""),Rules!$C$2:$C$200),"")&lt;&gt;E92,"⚠ Check sign","OK")))</f>
        <v/>
      </c>
    </row>
    <row r="93" customFormat="false" ht="15" hidden="false" customHeight="false" outlineLevel="0" collapsed="false">
      <c r="A93" s="3"/>
      <c r="B93" s="3"/>
      <c r="C93" s="3"/>
      <c r="D93" s="3" t="str">
        <f aca="false">IF($B93="","",IFERROR(LOOKUP(2^15,SEARCH(Rules!$A$2:$A$200&amp;"",$B93)/(Rules!$A$2:$A$200&lt;&gt;""),Rules!$B$2:$B$200),"Uncategorized"))</f>
        <v/>
      </c>
      <c r="E93" s="3" t="str">
        <f aca="false">IF($B93="","",IF($C93&gt;=0,"Income","Expense"))</f>
        <v/>
      </c>
      <c r="F93" s="3" t="str">
        <f aca="false">IF($B93="","",IFERROR(LOOKUP(2^15,SEARCH(Rules!$A$2:$A$200&amp;"",$B93)/(Rules!$A$2:$A$200&lt;&gt;""),Rules!$A$2:$A$200),""))</f>
        <v/>
      </c>
      <c r="G93" s="3" t="str">
        <f aca="false">IF($B93="","",IF(D93="Uncategorized","⚠ Review",IF(IFERROR(LOOKUP(2^15,SEARCH(Rules!$A$2:$A$200&amp;"",$B93)/(Rules!$A$2:$A$200&lt;&gt;""),Rules!$C$2:$C$200),"")&lt;&gt;E93,"⚠ Check sign","OK")))</f>
        <v/>
      </c>
    </row>
    <row r="94" customFormat="false" ht="15" hidden="false" customHeight="false" outlineLevel="0" collapsed="false">
      <c r="A94" s="3"/>
      <c r="B94" s="3"/>
      <c r="C94" s="3"/>
      <c r="D94" s="3" t="str">
        <f aca="false">IF($B94="","",IFERROR(LOOKUP(2^15,SEARCH(Rules!$A$2:$A$200&amp;"",$B94)/(Rules!$A$2:$A$200&lt;&gt;""),Rules!$B$2:$B$200),"Uncategorized"))</f>
        <v/>
      </c>
      <c r="E94" s="3" t="str">
        <f aca="false">IF($B94="","",IF($C94&gt;=0,"Income","Expense"))</f>
        <v/>
      </c>
      <c r="F94" s="3" t="str">
        <f aca="false">IF($B94="","",IFERROR(LOOKUP(2^15,SEARCH(Rules!$A$2:$A$200&amp;"",$B94)/(Rules!$A$2:$A$200&lt;&gt;""),Rules!$A$2:$A$200),""))</f>
        <v/>
      </c>
      <c r="G94" s="3" t="str">
        <f aca="false">IF($B94="","",IF(D94="Uncategorized","⚠ Review",IF(IFERROR(LOOKUP(2^15,SEARCH(Rules!$A$2:$A$200&amp;"",$B94)/(Rules!$A$2:$A$200&lt;&gt;""),Rules!$C$2:$C$200),"")&lt;&gt;E94,"⚠ Check sign","OK")))</f>
        <v/>
      </c>
    </row>
    <row r="95" customFormat="false" ht="15" hidden="false" customHeight="false" outlineLevel="0" collapsed="false">
      <c r="A95" s="3"/>
      <c r="B95" s="3"/>
      <c r="C95" s="3"/>
      <c r="D95" s="3" t="str">
        <f aca="false">IF($B95="","",IFERROR(LOOKUP(2^15,SEARCH(Rules!$A$2:$A$200&amp;"",$B95)/(Rules!$A$2:$A$200&lt;&gt;""),Rules!$B$2:$B$200),"Uncategorized"))</f>
        <v/>
      </c>
      <c r="E95" s="3" t="str">
        <f aca="false">IF($B95="","",IF($C95&gt;=0,"Income","Expense"))</f>
        <v/>
      </c>
      <c r="F95" s="3" t="str">
        <f aca="false">IF($B95="","",IFERROR(LOOKUP(2^15,SEARCH(Rules!$A$2:$A$200&amp;"",$B95)/(Rules!$A$2:$A$200&lt;&gt;""),Rules!$A$2:$A$200),""))</f>
        <v/>
      </c>
      <c r="G95" s="3" t="str">
        <f aca="false">IF($B95="","",IF(D95="Uncategorized","⚠ Review",IF(IFERROR(LOOKUP(2^15,SEARCH(Rules!$A$2:$A$200&amp;"",$B95)/(Rules!$A$2:$A$200&lt;&gt;""),Rules!$C$2:$C$200),"")&lt;&gt;E95,"⚠ Check sign","OK")))</f>
        <v/>
      </c>
    </row>
    <row r="96" customFormat="false" ht="15" hidden="false" customHeight="false" outlineLevel="0" collapsed="false">
      <c r="A96" s="3"/>
      <c r="B96" s="3"/>
      <c r="C96" s="3"/>
      <c r="D96" s="3" t="str">
        <f aca="false">IF($B96="","",IFERROR(LOOKUP(2^15,SEARCH(Rules!$A$2:$A$200&amp;"",$B96)/(Rules!$A$2:$A$200&lt;&gt;""),Rules!$B$2:$B$200),"Uncategorized"))</f>
        <v/>
      </c>
      <c r="E96" s="3" t="str">
        <f aca="false">IF($B96="","",IF($C96&gt;=0,"Income","Expense"))</f>
        <v/>
      </c>
      <c r="F96" s="3" t="str">
        <f aca="false">IF($B96="","",IFERROR(LOOKUP(2^15,SEARCH(Rules!$A$2:$A$200&amp;"",$B96)/(Rules!$A$2:$A$200&lt;&gt;""),Rules!$A$2:$A$200),""))</f>
        <v/>
      </c>
      <c r="G96" s="3" t="str">
        <f aca="false">IF($B96="","",IF(D96="Uncategorized","⚠ Review",IF(IFERROR(LOOKUP(2^15,SEARCH(Rules!$A$2:$A$200&amp;"",$B96)/(Rules!$A$2:$A$200&lt;&gt;""),Rules!$C$2:$C$200),"")&lt;&gt;E96,"⚠ Check sign","OK")))</f>
        <v/>
      </c>
    </row>
    <row r="97" customFormat="false" ht="15" hidden="false" customHeight="false" outlineLevel="0" collapsed="false">
      <c r="A97" s="3"/>
      <c r="B97" s="3"/>
      <c r="C97" s="3"/>
      <c r="D97" s="3" t="str">
        <f aca="false">IF($B97="","",IFERROR(LOOKUP(2^15,SEARCH(Rules!$A$2:$A$200&amp;"",$B97)/(Rules!$A$2:$A$200&lt;&gt;""),Rules!$B$2:$B$200),"Uncategorized"))</f>
        <v/>
      </c>
      <c r="E97" s="3" t="str">
        <f aca="false">IF($B97="","",IF($C97&gt;=0,"Income","Expense"))</f>
        <v/>
      </c>
      <c r="F97" s="3" t="str">
        <f aca="false">IF($B97="","",IFERROR(LOOKUP(2^15,SEARCH(Rules!$A$2:$A$200&amp;"",$B97)/(Rules!$A$2:$A$200&lt;&gt;""),Rules!$A$2:$A$200),""))</f>
        <v/>
      </c>
      <c r="G97" s="3" t="str">
        <f aca="false">IF($B97="","",IF(D97="Uncategorized","⚠ Review",IF(IFERROR(LOOKUP(2^15,SEARCH(Rules!$A$2:$A$200&amp;"",$B97)/(Rules!$A$2:$A$200&lt;&gt;""),Rules!$C$2:$C$200),"")&lt;&gt;E97,"⚠ Check sign","OK")))</f>
        <v/>
      </c>
    </row>
    <row r="98" customFormat="false" ht="15" hidden="false" customHeight="false" outlineLevel="0" collapsed="false">
      <c r="A98" s="3"/>
      <c r="B98" s="3"/>
      <c r="C98" s="3"/>
      <c r="D98" s="3" t="str">
        <f aca="false">IF($B98="","",IFERROR(LOOKUP(2^15,SEARCH(Rules!$A$2:$A$200&amp;"",$B98)/(Rules!$A$2:$A$200&lt;&gt;""),Rules!$B$2:$B$200),"Uncategorized"))</f>
        <v/>
      </c>
      <c r="E98" s="3" t="str">
        <f aca="false">IF($B98="","",IF($C98&gt;=0,"Income","Expense"))</f>
        <v/>
      </c>
      <c r="F98" s="3" t="str">
        <f aca="false">IF($B98="","",IFERROR(LOOKUP(2^15,SEARCH(Rules!$A$2:$A$200&amp;"",$B98)/(Rules!$A$2:$A$200&lt;&gt;""),Rules!$A$2:$A$200),""))</f>
        <v/>
      </c>
      <c r="G98" s="3" t="str">
        <f aca="false">IF($B98="","",IF(D98="Uncategorized","⚠ Review",IF(IFERROR(LOOKUP(2^15,SEARCH(Rules!$A$2:$A$200&amp;"",$B98)/(Rules!$A$2:$A$200&lt;&gt;""),Rules!$C$2:$C$200),"")&lt;&gt;E98,"⚠ Check sign","OK")))</f>
        <v/>
      </c>
    </row>
    <row r="99" customFormat="false" ht="15" hidden="false" customHeight="false" outlineLevel="0" collapsed="false">
      <c r="A99" s="3"/>
      <c r="B99" s="3"/>
      <c r="C99" s="3"/>
      <c r="D99" s="3" t="str">
        <f aca="false">IF($B99="","",IFERROR(LOOKUP(2^15,SEARCH(Rules!$A$2:$A$200&amp;"",$B99)/(Rules!$A$2:$A$200&lt;&gt;""),Rules!$B$2:$B$200),"Uncategorized"))</f>
        <v/>
      </c>
      <c r="E99" s="3" t="str">
        <f aca="false">IF($B99="","",IF($C99&gt;=0,"Income","Expense"))</f>
        <v/>
      </c>
      <c r="F99" s="3" t="str">
        <f aca="false">IF($B99="","",IFERROR(LOOKUP(2^15,SEARCH(Rules!$A$2:$A$200&amp;"",$B99)/(Rules!$A$2:$A$200&lt;&gt;""),Rules!$A$2:$A$200),""))</f>
        <v/>
      </c>
      <c r="G99" s="3" t="str">
        <f aca="false">IF($B99="","",IF(D99="Uncategorized","⚠ Review",IF(IFERROR(LOOKUP(2^15,SEARCH(Rules!$A$2:$A$200&amp;"",$B99)/(Rules!$A$2:$A$200&lt;&gt;""),Rules!$C$2:$C$200),"")&lt;&gt;E99,"⚠ Check sign","OK")))</f>
        <v/>
      </c>
    </row>
    <row r="100" customFormat="false" ht="15" hidden="false" customHeight="false" outlineLevel="0" collapsed="false">
      <c r="A100" s="3"/>
      <c r="B100" s="3"/>
      <c r="C100" s="3"/>
      <c r="D100" s="3" t="str">
        <f aca="false">IF($B100="","",IFERROR(LOOKUP(2^15,SEARCH(Rules!$A$2:$A$200&amp;"",$B100)/(Rules!$A$2:$A$200&lt;&gt;""),Rules!$B$2:$B$200),"Uncategorized"))</f>
        <v/>
      </c>
      <c r="E100" s="3" t="str">
        <f aca="false">IF($B100="","",IF($C100&gt;=0,"Income","Expense"))</f>
        <v/>
      </c>
      <c r="F100" s="3" t="str">
        <f aca="false">IF($B100="","",IFERROR(LOOKUP(2^15,SEARCH(Rules!$A$2:$A$200&amp;"",$B100)/(Rules!$A$2:$A$200&lt;&gt;""),Rules!$A$2:$A$200),""))</f>
        <v/>
      </c>
      <c r="G100" s="3" t="str">
        <f aca="false">IF($B100="","",IF(D100="Uncategorized","⚠ Review",IF(IFERROR(LOOKUP(2^15,SEARCH(Rules!$A$2:$A$200&amp;"",$B100)/(Rules!$A$2:$A$200&lt;&gt;""),Rules!$C$2:$C$200),"")&lt;&gt;E100,"⚠ Check sign","OK")))</f>
        <v/>
      </c>
    </row>
    <row r="101" customFormat="false" ht="15" hidden="false" customHeight="false" outlineLevel="0" collapsed="false">
      <c r="A101" s="3"/>
      <c r="B101" s="3"/>
      <c r="C101" s="3"/>
      <c r="D101" s="3" t="str">
        <f aca="false">IF($B101="","",IFERROR(LOOKUP(2^15,SEARCH(Rules!$A$2:$A$200&amp;"",$B101)/(Rules!$A$2:$A$200&lt;&gt;""),Rules!$B$2:$B$200),"Uncategorized"))</f>
        <v/>
      </c>
      <c r="E101" s="3" t="str">
        <f aca="false">IF($B101="","",IF($C101&gt;=0,"Income","Expense"))</f>
        <v/>
      </c>
      <c r="F101" s="3" t="str">
        <f aca="false">IF($B101="","",IFERROR(LOOKUP(2^15,SEARCH(Rules!$A$2:$A$200&amp;"",$B101)/(Rules!$A$2:$A$200&lt;&gt;""),Rules!$A$2:$A$200),""))</f>
        <v/>
      </c>
      <c r="G101" s="3" t="str">
        <f aca="false">IF($B101="","",IF(D101="Uncategorized","⚠ Review",IF(IFERROR(LOOKUP(2^15,SEARCH(Rules!$A$2:$A$200&amp;"",$B101)/(Rules!$A$2:$A$200&lt;&gt;""),Rules!$C$2:$C$200),"")&lt;&gt;E101,"⚠ Check sign","OK")))</f>
        <v/>
      </c>
    </row>
    <row r="102" customFormat="false" ht="15" hidden="false" customHeight="false" outlineLevel="0" collapsed="false">
      <c r="A102" s="3"/>
      <c r="B102" s="3"/>
      <c r="C102" s="3"/>
      <c r="D102" s="3" t="str">
        <f aca="false">IF($B102="","",IFERROR(LOOKUP(2^15,SEARCH(Rules!$A$2:$A$200&amp;"",$B102)/(Rules!$A$2:$A$200&lt;&gt;""),Rules!$B$2:$B$200),"Uncategorized"))</f>
        <v/>
      </c>
      <c r="E102" s="3" t="str">
        <f aca="false">IF($B102="","",IF($C102&gt;=0,"Income","Expense"))</f>
        <v/>
      </c>
      <c r="F102" s="3" t="str">
        <f aca="false">IF($B102="","",IFERROR(LOOKUP(2^15,SEARCH(Rules!$A$2:$A$200&amp;"",$B102)/(Rules!$A$2:$A$200&lt;&gt;""),Rules!$A$2:$A$200),""))</f>
        <v/>
      </c>
      <c r="G102" s="3" t="str">
        <f aca="false">IF($B102="","",IF(D102="Uncategorized","⚠ Review",IF(IFERROR(LOOKUP(2^15,SEARCH(Rules!$A$2:$A$200&amp;"",$B102)/(Rules!$A$2:$A$200&lt;&gt;""),Rules!$C$2:$C$200),"")&lt;&gt;E102,"⚠ Check sign","OK")))</f>
        <v/>
      </c>
    </row>
    <row r="103" customFormat="false" ht="15" hidden="false" customHeight="false" outlineLevel="0" collapsed="false">
      <c r="A103" s="3"/>
      <c r="B103" s="3"/>
      <c r="C103" s="3"/>
      <c r="D103" s="3" t="str">
        <f aca="false">IF($B103="","",IFERROR(LOOKUP(2^15,SEARCH(Rules!$A$2:$A$200&amp;"",$B103)/(Rules!$A$2:$A$200&lt;&gt;""),Rules!$B$2:$B$200),"Uncategorized"))</f>
        <v/>
      </c>
      <c r="E103" s="3" t="str">
        <f aca="false">IF($B103="","",IF($C103&gt;=0,"Income","Expense"))</f>
        <v/>
      </c>
      <c r="F103" s="3" t="str">
        <f aca="false">IF($B103="","",IFERROR(LOOKUP(2^15,SEARCH(Rules!$A$2:$A$200&amp;"",$B103)/(Rules!$A$2:$A$200&lt;&gt;""),Rules!$A$2:$A$200),""))</f>
        <v/>
      </c>
      <c r="G103" s="3" t="str">
        <f aca="false">IF($B103="","",IF(D103="Uncategorized","⚠ Review",IF(IFERROR(LOOKUP(2^15,SEARCH(Rules!$A$2:$A$200&amp;"",$B103)/(Rules!$A$2:$A$200&lt;&gt;""),Rules!$C$2:$C$200),"")&lt;&gt;E103,"⚠ Check sign","OK")))</f>
        <v/>
      </c>
    </row>
    <row r="104" customFormat="false" ht="15" hidden="false" customHeight="false" outlineLevel="0" collapsed="false">
      <c r="A104" s="3"/>
      <c r="B104" s="3"/>
      <c r="C104" s="3"/>
      <c r="D104" s="3" t="str">
        <f aca="false">IF($B104="","",IFERROR(LOOKUP(2^15,SEARCH(Rules!$A$2:$A$200&amp;"",$B104)/(Rules!$A$2:$A$200&lt;&gt;""),Rules!$B$2:$B$200),"Uncategorized"))</f>
        <v/>
      </c>
      <c r="E104" s="3" t="str">
        <f aca="false">IF($B104="","",IF($C104&gt;=0,"Income","Expense"))</f>
        <v/>
      </c>
      <c r="F104" s="3" t="str">
        <f aca="false">IF($B104="","",IFERROR(LOOKUP(2^15,SEARCH(Rules!$A$2:$A$200&amp;"",$B104)/(Rules!$A$2:$A$200&lt;&gt;""),Rules!$A$2:$A$200),""))</f>
        <v/>
      </c>
      <c r="G104" s="3" t="str">
        <f aca="false">IF($B104="","",IF(D104="Uncategorized","⚠ Review",IF(IFERROR(LOOKUP(2^15,SEARCH(Rules!$A$2:$A$200&amp;"",$B104)/(Rules!$A$2:$A$200&lt;&gt;""),Rules!$C$2:$C$200),"")&lt;&gt;E104,"⚠ Check sign","OK")))</f>
        <v/>
      </c>
    </row>
    <row r="105" customFormat="false" ht="15" hidden="false" customHeight="false" outlineLevel="0" collapsed="false">
      <c r="A105" s="3"/>
      <c r="B105" s="3"/>
      <c r="C105" s="3"/>
      <c r="D105" s="3" t="str">
        <f aca="false">IF($B105="","",IFERROR(LOOKUP(2^15,SEARCH(Rules!$A$2:$A$200&amp;"",$B105)/(Rules!$A$2:$A$200&lt;&gt;""),Rules!$B$2:$B$200),"Uncategorized"))</f>
        <v/>
      </c>
      <c r="E105" s="3" t="str">
        <f aca="false">IF($B105="","",IF($C105&gt;=0,"Income","Expense"))</f>
        <v/>
      </c>
      <c r="F105" s="3" t="str">
        <f aca="false">IF($B105="","",IFERROR(LOOKUP(2^15,SEARCH(Rules!$A$2:$A$200&amp;"",$B105)/(Rules!$A$2:$A$200&lt;&gt;""),Rules!$A$2:$A$200),""))</f>
        <v/>
      </c>
      <c r="G105" s="3" t="str">
        <f aca="false">IF($B105="","",IF(D105="Uncategorized","⚠ Review",IF(IFERROR(LOOKUP(2^15,SEARCH(Rules!$A$2:$A$200&amp;"",$B105)/(Rules!$A$2:$A$200&lt;&gt;""),Rules!$C$2:$C$200),"")&lt;&gt;E105,"⚠ Check sign","OK")))</f>
        <v/>
      </c>
    </row>
    <row r="106" customFormat="false" ht="15" hidden="false" customHeight="false" outlineLevel="0" collapsed="false">
      <c r="A106" s="3"/>
      <c r="B106" s="3"/>
      <c r="C106" s="3"/>
      <c r="D106" s="3" t="str">
        <f aca="false">IF($B106="","",IFERROR(LOOKUP(2^15,SEARCH(Rules!$A$2:$A$200&amp;"",$B106)/(Rules!$A$2:$A$200&lt;&gt;""),Rules!$B$2:$B$200),"Uncategorized"))</f>
        <v/>
      </c>
      <c r="E106" s="3" t="str">
        <f aca="false">IF($B106="","",IF($C106&gt;=0,"Income","Expense"))</f>
        <v/>
      </c>
      <c r="F106" s="3" t="str">
        <f aca="false">IF($B106="","",IFERROR(LOOKUP(2^15,SEARCH(Rules!$A$2:$A$200&amp;"",$B106)/(Rules!$A$2:$A$200&lt;&gt;""),Rules!$A$2:$A$200),""))</f>
        <v/>
      </c>
      <c r="G106" s="3" t="str">
        <f aca="false">IF($B106="","",IF(D106="Uncategorized","⚠ Review",IF(IFERROR(LOOKUP(2^15,SEARCH(Rules!$A$2:$A$200&amp;"",$B106)/(Rules!$A$2:$A$200&lt;&gt;""),Rules!$C$2:$C$200),"")&lt;&gt;E106,"⚠ Check sign","OK")))</f>
        <v/>
      </c>
    </row>
    <row r="107" customFormat="false" ht="15" hidden="false" customHeight="false" outlineLevel="0" collapsed="false">
      <c r="A107" s="3"/>
      <c r="B107" s="3"/>
      <c r="C107" s="3"/>
      <c r="D107" s="3" t="str">
        <f aca="false">IF($B107="","",IFERROR(LOOKUP(2^15,SEARCH(Rules!$A$2:$A$200&amp;"",$B107)/(Rules!$A$2:$A$200&lt;&gt;""),Rules!$B$2:$B$200),"Uncategorized"))</f>
        <v/>
      </c>
      <c r="E107" s="3" t="str">
        <f aca="false">IF($B107="","",IF($C107&gt;=0,"Income","Expense"))</f>
        <v/>
      </c>
      <c r="F107" s="3" t="str">
        <f aca="false">IF($B107="","",IFERROR(LOOKUP(2^15,SEARCH(Rules!$A$2:$A$200&amp;"",$B107)/(Rules!$A$2:$A$200&lt;&gt;""),Rules!$A$2:$A$200),""))</f>
        <v/>
      </c>
      <c r="G107" s="3" t="str">
        <f aca="false">IF($B107="","",IF(D107="Uncategorized","⚠ Review",IF(IFERROR(LOOKUP(2^15,SEARCH(Rules!$A$2:$A$200&amp;"",$B107)/(Rules!$A$2:$A$200&lt;&gt;""),Rules!$C$2:$C$200),"")&lt;&gt;E107,"⚠ Check sign","OK")))</f>
        <v/>
      </c>
    </row>
    <row r="108" customFormat="false" ht="15" hidden="false" customHeight="false" outlineLevel="0" collapsed="false">
      <c r="A108" s="3"/>
      <c r="B108" s="3"/>
      <c r="C108" s="3"/>
      <c r="D108" s="3" t="str">
        <f aca="false">IF($B108="","",IFERROR(LOOKUP(2^15,SEARCH(Rules!$A$2:$A$200&amp;"",$B108)/(Rules!$A$2:$A$200&lt;&gt;""),Rules!$B$2:$B$200),"Uncategorized"))</f>
        <v/>
      </c>
      <c r="E108" s="3" t="str">
        <f aca="false">IF($B108="","",IF($C108&gt;=0,"Income","Expense"))</f>
        <v/>
      </c>
      <c r="F108" s="3" t="str">
        <f aca="false">IF($B108="","",IFERROR(LOOKUP(2^15,SEARCH(Rules!$A$2:$A$200&amp;"",$B108)/(Rules!$A$2:$A$200&lt;&gt;""),Rules!$A$2:$A$200),""))</f>
        <v/>
      </c>
      <c r="G108" s="3" t="str">
        <f aca="false">IF($B108="","",IF(D108="Uncategorized","⚠ Review",IF(IFERROR(LOOKUP(2^15,SEARCH(Rules!$A$2:$A$200&amp;"",$B108)/(Rules!$A$2:$A$200&lt;&gt;""),Rules!$C$2:$C$200),"")&lt;&gt;E108,"⚠ Check sign","OK")))</f>
        <v/>
      </c>
    </row>
    <row r="109" customFormat="false" ht="15" hidden="false" customHeight="false" outlineLevel="0" collapsed="false">
      <c r="A109" s="3"/>
      <c r="B109" s="3"/>
      <c r="C109" s="3"/>
      <c r="D109" s="3" t="str">
        <f aca="false">IF($B109="","",IFERROR(LOOKUP(2^15,SEARCH(Rules!$A$2:$A$200&amp;"",$B109)/(Rules!$A$2:$A$200&lt;&gt;""),Rules!$B$2:$B$200),"Uncategorized"))</f>
        <v/>
      </c>
      <c r="E109" s="3" t="str">
        <f aca="false">IF($B109="","",IF($C109&gt;=0,"Income","Expense"))</f>
        <v/>
      </c>
      <c r="F109" s="3" t="str">
        <f aca="false">IF($B109="","",IFERROR(LOOKUP(2^15,SEARCH(Rules!$A$2:$A$200&amp;"",$B109)/(Rules!$A$2:$A$200&lt;&gt;""),Rules!$A$2:$A$200),""))</f>
        <v/>
      </c>
      <c r="G109" s="3" t="str">
        <f aca="false">IF($B109="","",IF(D109="Uncategorized","⚠ Review",IF(IFERROR(LOOKUP(2^15,SEARCH(Rules!$A$2:$A$200&amp;"",$B109)/(Rules!$A$2:$A$200&lt;&gt;""),Rules!$C$2:$C$200),"")&lt;&gt;E109,"⚠ Check sign","OK")))</f>
        <v/>
      </c>
    </row>
    <row r="110" customFormat="false" ht="15" hidden="false" customHeight="false" outlineLevel="0" collapsed="false">
      <c r="A110" s="3"/>
      <c r="B110" s="3"/>
      <c r="C110" s="3"/>
      <c r="D110" s="3" t="str">
        <f aca="false">IF($B110="","",IFERROR(LOOKUP(2^15,SEARCH(Rules!$A$2:$A$200&amp;"",$B110)/(Rules!$A$2:$A$200&lt;&gt;""),Rules!$B$2:$B$200),"Uncategorized"))</f>
        <v/>
      </c>
      <c r="E110" s="3" t="str">
        <f aca="false">IF($B110="","",IF($C110&gt;=0,"Income","Expense"))</f>
        <v/>
      </c>
      <c r="F110" s="3" t="str">
        <f aca="false">IF($B110="","",IFERROR(LOOKUP(2^15,SEARCH(Rules!$A$2:$A$200&amp;"",$B110)/(Rules!$A$2:$A$200&lt;&gt;""),Rules!$A$2:$A$200),""))</f>
        <v/>
      </c>
      <c r="G110" s="3" t="str">
        <f aca="false">IF($B110="","",IF(D110="Uncategorized","⚠ Review",IF(IFERROR(LOOKUP(2^15,SEARCH(Rules!$A$2:$A$200&amp;"",$B110)/(Rules!$A$2:$A$200&lt;&gt;""),Rules!$C$2:$C$200),"")&lt;&gt;E110,"⚠ Check sign","OK")))</f>
        <v/>
      </c>
    </row>
    <row r="111" customFormat="false" ht="15" hidden="false" customHeight="false" outlineLevel="0" collapsed="false">
      <c r="A111" s="3"/>
      <c r="B111" s="3"/>
      <c r="C111" s="3"/>
      <c r="D111" s="3" t="str">
        <f aca="false">IF($B111="","",IFERROR(LOOKUP(2^15,SEARCH(Rules!$A$2:$A$200&amp;"",$B111)/(Rules!$A$2:$A$200&lt;&gt;""),Rules!$B$2:$B$200),"Uncategorized"))</f>
        <v/>
      </c>
      <c r="E111" s="3" t="str">
        <f aca="false">IF($B111="","",IF($C111&gt;=0,"Income","Expense"))</f>
        <v/>
      </c>
      <c r="F111" s="3" t="str">
        <f aca="false">IF($B111="","",IFERROR(LOOKUP(2^15,SEARCH(Rules!$A$2:$A$200&amp;"",$B111)/(Rules!$A$2:$A$200&lt;&gt;""),Rules!$A$2:$A$200),""))</f>
        <v/>
      </c>
      <c r="G111" s="3" t="str">
        <f aca="false">IF($B111="","",IF(D111="Uncategorized","⚠ Review",IF(IFERROR(LOOKUP(2^15,SEARCH(Rules!$A$2:$A$200&amp;"",$B111)/(Rules!$A$2:$A$200&lt;&gt;""),Rules!$C$2:$C$200),"")&lt;&gt;E111,"⚠ Check sign","OK")))</f>
        <v/>
      </c>
    </row>
    <row r="112" customFormat="false" ht="15" hidden="false" customHeight="false" outlineLevel="0" collapsed="false">
      <c r="A112" s="3"/>
      <c r="B112" s="3"/>
      <c r="C112" s="3"/>
      <c r="D112" s="3" t="str">
        <f aca="false">IF($B112="","",IFERROR(LOOKUP(2^15,SEARCH(Rules!$A$2:$A$200&amp;"",$B112)/(Rules!$A$2:$A$200&lt;&gt;""),Rules!$B$2:$B$200),"Uncategorized"))</f>
        <v/>
      </c>
      <c r="E112" s="3" t="str">
        <f aca="false">IF($B112="","",IF($C112&gt;=0,"Income","Expense"))</f>
        <v/>
      </c>
      <c r="F112" s="3" t="str">
        <f aca="false">IF($B112="","",IFERROR(LOOKUP(2^15,SEARCH(Rules!$A$2:$A$200&amp;"",$B112)/(Rules!$A$2:$A$200&lt;&gt;""),Rules!$A$2:$A$200),""))</f>
        <v/>
      </c>
      <c r="G112" s="3" t="str">
        <f aca="false">IF($B112="","",IF(D112="Uncategorized","⚠ Review",IF(IFERROR(LOOKUP(2^15,SEARCH(Rules!$A$2:$A$200&amp;"",$B112)/(Rules!$A$2:$A$200&lt;&gt;""),Rules!$C$2:$C$200),"")&lt;&gt;E112,"⚠ Check sign","OK")))</f>
        <v/>
      </c>
    </row>
    <row r="113" customFormat="false" ht="15" hidden="false" customHeight="false" outlineLevel="0" collapsed="false">
      <c r="A113" s="3"/>
      <c r="B113" s="3"/>
      <c r="C113" s="3"/>
      <c r="D113" s="3" t="str">
        <f aca="false">IF($B113="","",IFERROR(LOOKUP(2^15,SEARCH(Rules!$A$2:$A$200&amp;"",$B113)/(Rules!$A$2:$A$200&lt;&gt;""),Rules!$B$2:$B$200),"Uncategorized"))</f>
        <v/>
      </c>
      <c r="E113" s="3" t="str">
        <f aca="false">IF($B113="","",IF($C113&gt;=0,"Income","Expense"))</f>
        <v/>
      </c>
      <c r="F113" s="3" t="str">
        <f aca="false">IF($B113="","",IFERROR(LOOKUP(2^15,SEARCH(Rules!$A$2:$A$200&amp;"",$B113)/(Rules!$A$2:$A$200&lt;&gt;""),Rules!$A$2:$A$200),""))</f>
        <v/>
      </c>
      <c r="G113" s="3" t="str">
        <f aca="false">IF($B113="","",IF(D113="Uncategorized","⚠ Review",IF(IFERROR(LOOKUP(2^15,SEARCH(Rules!$A$2:$A$200&amp;"",$B113)/(Rules!$A$2:$A$200&lt;&gt;""),Rules!$C$2:$C$200),"")&lt;&gt;E113,"⚠ Check sign","OK")))</f>
        <v/>
      </c>
    </row>
    <row r="114" customFormat="false" ht="15" hidden="false" customHeight="false" outlineLevel="0" collapsed="false">
      <c r="A114" s="3"/>
      <c r="B114" s="3"/>
      <c r="C114" s="3"/>
      <c r="D114" s="3" t="str">
        <f aca="false">IF($B114="","",IFERROR(LOOKUP(2^15,SEARCH(Rules!$A$2:$A$200&amp;"",$B114)/(Rules!$A$2:$A$200&lt;&gt;""),Rules!$B$2:$B$200),"Uncategorized"))</f>
        <v/>
      </c>
      <c r="E114" s="3" t="str">
        <f aca="false">IF($B114="","",IF($C114&gt;=0,"Income","Expense"))</f>
        <v/>
      </c>
      <c r="F114" s="3" t="str">
        <f aca="false">IF($B114="","",IFERROR(LOOKUP(2^15,SEARCH(Rules!$A$2:$A$200&amp;"",$B114)/(Rules!$A$2:$A$200&lt;&gt;""),Rules!$A$2:$A$200),""))</f>
        <v/>
      </c>
      <c r="G114" s="3" t="str">
        <f aca="false">IF($B114="","",IF(D114="Uncategorized","⚠ Review",IF(IFERROR(LOOKUP(2^15,SEARCH(Rules!$A$2:$A$200&amp;"",$B114)/(Rules!$A$2:$A$200&lt;&gt;""),Rules!$C$2:$C$200),"")&lt;&gt;E114,"⚠ Check sign","OK")))</f>
        <v/>
      </c>
    </row>
    <row r="115" customFormat="false" ht="15" hidden="false" customHeight="false" outlineLevel="0" collapsed="false">
      <c r="A115" s="3"/>
      <c r="B115" s="3"/>
      <c r="C115" s="3"/>
      <c r="D115" s="3" t="str">
        <f aca="false">IF($B115="","",IFERROR(LOOKUP(2^15,SEARCH(Rules!$A$2:$A$200&amp;"",$B115)/(Rules!$A$2:$A$200&lt;&gt;""),Rules!$B$2:$B$200),"Uncategorized"))</f>
        <v/>
      </c>
      <c r="E115" s="3" t="str">
        <f aca="false">IF($B115="","",IF($C115&gt;=0,"Income","Expense"))</f>
        <v/>
      </c>
      <c r="F115" s="3" t="str">
        <f aca="false">IF($B115="","",IFERROR(LOOKUP(2^15,SEARCH(Rules!$A$2:$A$200&amp;"",$B115)/(Rules!$A$2:$A$200&lt;&gt;""),Rules!$A$2:$A$200),""))</f>
        <v/>
      </c>
      <c r="G115" s="3" t="str">
        <f aca="false">IF($B115="","",IF(D115="Uncategorized","⚠ Review",IF(IFERROR(LOOKUP(2^15,SEARCH(Rules!$A$2:$A$200&amp;"",$B115)/(Rules!$A$2:$A$200&lt;&gt;""),Rules!$C$2:$C$200),"")&lt;&gt;E115,"⚠ Check sign","OK")))</f>
        <v/>
      </c>
    </row>
    <row r="116" customFormat="false" ht="15" hidden="false" customHeight="false" outlineLevel="0" collapsed="false">
      <c r="A116" s="3"/>
      <c r="B116" s="3"/>
      <c r="C116" s="3"/>
      <c r="D116" s="3" t="str">
        <f aca="false">IF($B116="","",IFERROR(LOOKUP(2^15,SEARCH(Rules!$A$2:$A$200&amp;"",$B116)/(Rules!$A$2:$A$200&lt;&gt;""),Rules!$B$2:$B$200),"Uncategorized"))</f>
        <v/>
      </c>
      <c r="E116" s="3" t="str">
        <f aca="false">IF($B116="","",IF($C116&gt;=0,"Income","Expense"))</f>
        <v/>
      </c>
      <c r="F116" s="3" t="str">
        <f aca="false">IF($B116="","",IFERROR(LOOKUP(2^15,SEARCH(Rules!$A$2:$A$200&amp;"",$B116)/(Rules!$A$2:$A$200&lt;&gt;""),Rules!$A$2:$A$200),""))</f>
        <v/>
      </c>
      <c r="G116" s="3" t="str">
        <f aca="false">IF($B116="","",IF(D116="Uncategorized","⚠ Review",IF(IFERROR(LOOKUP(2^15,SEARCH(Rules!$A$2:$A$200&amp;"",$B116)/(Rules!$A$2:$A$200&lt;&gt;""),Rules!$C$2:$C$200),"")&lt;&gt;E116,"⚠ Check sign","OK")))</f>
        <v/>
      </c>
    </row>
    <row r="117" customFormat="false" ht="15" hidden="false" customHeight="false" outlineLevel="0" collapsed="false">
      <c r="A117" s="3"/>
      <c r="B117" s="3"/>
      <c r="C117" s="3"/>
      <c r="D117" s="3" t="str">
        <f aca="false">IF($B117="","",IFERROR(LOOKUP(2^15,SEARCH(Rules!$A$2:$A$200&amp;"",$B117)/(Rules!$A$2:$A$200&lt;&gt;""),Rules!$B$2:$B$200),"Uncategorized"))</f>
        <v/>
      </c>
      <c r="E117" s="3" t="str">
        <f aca="false">IF($B117="","",IF($C117&gt;=0,"Income","Expense"))</f>
        <v/>
      </c>
      <c r="F117" s="3" t="str">
        <f aca="false">IF($B117="","",IFERROR(LOOKUP(2^15,SEARCH(Rules!$A$2:$A$200&amp;"",$B117)/(Rules!$A$2:$A$200&lt;&gt;""),Rules!$A$2:$A$200),""))</f>
        <v/>
      </c>
      <c r="G117" s="3" t="str">
        <f aca="false">IF($B117="","",IF(D117="Uncategorized","⚠ Review",IF(IFERROR(LOOKUP(2^15,SEARCH(Rules!$A$2:$A$200&amp;"",$B117)/(Rules!$A$2:$A$200&lt;&gt;""),Rules!$C$2:$C$200),"")&lt;&gt;E117,"⚠ Check sign","OK")))</f>
        <v/>
      </c>
    </row>
    <row r="118" customFormat="false" ht="15" hidden="false" customHeight="false" outlineLevel="0" collapsed="false">
      <c r="A118" s="3"/>
      <c r="B118" s="3"/>
      <c r="C118" s="3"/>
      <c r="D118" s="3" t="str">
        <f aca="false">IF($B118="","",IFERROR(LOOKUP(2^15,SEARCH(Rules!$A$2:$A$200&amp;"",$B118)/(Rules!$A$2:$A$200&lt;&gt;""),Rules!$B$2:$B$200),"Uncategorized"))</f>
        <v/>
      </c>
      <c r="E118" s="3" t="str">
        <f aca="false">IF($B118="","",IF($C118&gt;=0,"Income","Expense"))</f>
        <v/>
      </c>
      <c r="F118" s="3" t="str">
        <f aca="false">IF($B118="","",IFERROR(LOOKUP(2^15,SEARCH(Rules!$A$2:$A$200&amp;"",$B118)/(Rules!$A$2:$A$200&lt;&gt;""),Rules!$A$2:$A$200),""))</f>
        <v/>
      </c>
      <c r="G118" s="3" t="str">
        <f aca="false">IF($B118="","",IF(D118="Uncategorized","⚠ Review",IF(IFERROR(LOOKUP(2^15,SEARCH(Rules!$A$2:$A$200&amp;"",$B118)/(Rules!$A$2:$A$200&lt;&gt;""),Rules!$C$2:$C$200),"")&lt;&gt;E118,"⚠ Check sign","OK")))</f>
        <v/>
      </c>
    </row>
    <row r="119" customFormat="false" ht="15" hidden="false" customHeight="false" outlineLevel="0" collapsed="false">
      <c r="A119" s="3"/>
      <c r="B119" s="3"/>
      <c r="C119" s="3"/>
      <c r="D119" s="3" t="str">
        <f aca="false">IF($B119="","",IFERROR(LOOKUP(2^15,SEARCH(Rules!$A$2:$A$200&amp;"",$B119)/(Rules!$A$2:$A$200&lt;&gt;""),Rules!$B$2:$B$200),"Uncategorized"))</f>
        <v/>
      </c>
      <c r="E119" s="3" t="str">
        <f aca="false">IF($B119="","",IF($C119&gt;=0,"Income","Expense"))</f>
        <v/>
      </c>
      <c r="F119" s="3" t="str">
        <f aca="false">IF($B119="","",IFERROR(LOOKUP(2^15,SEARCH(Rules!$A$2:$A$200&amp;"",$B119)/(Rules!$A$2:$A$200&lt;&gt;""),Rules!$A$2:$A$200),""))</f>
        <v/>
      </c>
      <c r="G119" s="3" t="str">
        <f aca="false">IF($B119="","",IF(D119="Uncategorized","⚠ Review",IF(IFERROR(LOOKUP(2^15,SEARCH(Rules!$A$2:$A$200&amp;"",$B119)/(Rules!$A$2:$A$200&lt;&gt;""),Rules!$C$2:$C$200),"")&lt;&gt;E119,"⚠ Check sign","OK")))</f>
        <v/>
      </c>
    </row>
    <row r="120" customFormat="false" ht="15" hidden="false" customHeight="false" outlineLevel="0" collapsed="false">
      <c r="A120" s="3"/>
      <c r="B120" s="3"/>
      <c r="C120" s="3"/>
      <c r="D120" s="3" t="str">
        <f aca="false">IF($B120="","",IFERROR(LOOKUP(2^15,SEARCH(Rules!$A$2:$A$200&amp;"",$B120)/(Rules!$A$2:$A$200&lt;&gt;""),Rules!$B$2:$B$200),"Uncategorized"))</f>
        <v/>
      </c>
      <c r="E120" s="3" t="str">
        <f aca="false">IF($B120="","",IF($C120&gt;=0,"Income","Expense"))</f>
        <v/>
      </c>
      <c r="F120" s="3" t="str">
        <f aca="false">IF($B120="","",IFERROR(LOOKUP(2^15,SEARCH(Rules!$A$2:$A$200&amp;"",$B120)/(Rules!$A$2:$A$200&lt;&gt;""),Rules!$A$2:$A$200),""))</f>
        <v/>
      </c>
      <c r="G120" s="3" t="str">
        <f aca="false">IF($B120="","",IF(D120="Uncategorized","⚠ Review",IF(IFERROR(LOOKUP(2^15,SEARCH(Rules!$A$2:$A$200&amp;"",$B120)/(Rules!$A$2:$A$200&lt;&gt;""),Rules!$C$2:$C$200),"")&lt;&gt;E120,"⚠ Check sign","OK")))</f>
        <v/>
      </c>
    </row>
    <row r="121" customFormat="false" ht="15" hidden="false" customHeight="false" outlineLevel="0" collapsed="false">
      <c r="A121" s="3"/>
      <c r="B121" s="3"/>
      <c r="C121" s="3"/>
      <c r="D121" s="3" t="str">
        <f aca="false">IF($B121="","",IFERROR(LOOKUP(2^15,SEARCH(Rules!$A$2:$A$200&amp;"",$B121)/(Rules!$A$2:$A$200&lt;&gt;""),Rules!$B$2:$B$200),"Uncategorized"))</f>
        <v/>
      </c>
      <c r="E121" s="3" t="str">
        <f aca="false">IF($B121="","",IF($C121&gt;=0,"Income","Expense"))</f>
        <v/>
      </c>
      <c r="F121" s="3" t="str">
        <f aca="false">IF($B121="","",IFERROR(LOOKUP(2^15,SEARCH(Rules!$A$2:$A$200&amp;"",$B121)/(Rules!$A$2:$A$200&lt;&gt;""),Rules!$A$2:$A$200),""))</f>
        <v/>
      </c>
      <c r="G121" s="3" t="str">
        <f aca="false">IF($B121="","",IF(D121="Uncategorized","⚠ Review",IF(IFERROR(LOOKUP(2^15,SEARCH(Rules!$A$2:$A$200&amp;"",$B121)/(Rules!$A$2:$A$200&lt;&gt;""),Rules!$C$2:$C$200),"")&lt;&gt;E121,"⚠ Check sign","OK")))</f>
        <v/>
      </c>
    </row>
    <row r="122" customFormat="false" ht="15" hidden="false" customHeight="false" outlineLevel="0" collapsed="false">
      <c r="A122" s="3"/>
      <c r="B122" s="3"/>
      <c r="C122" s="3"/>
      <c r="D122" s="3" t="str">
        <f aca="false">IF($B122="","",IFERROR(LOOKUP(2^15,SEARCH(Rules!$A$2:$A$200&amp;"",$B122)/(Rules!$A$2:$A$200&lt;&gt;""),Rules!$B$2:$B$200),"Uncategorized"))</f>
        <v/>
      </c>
      <c r="E122" s="3" t="str">
        <f aca="false">IF($B122="","",IF($C122&gt;=0,"Income","Expense"))</f>
        <v/>
      </c>
      <c r="F122" s="3" t="str">
        <f aca="false">IF($B122="","",IFERROR(LOOKUP(2^15,SEARCH(Rules!$A$2:$A$200&amp;"",$B122)/(Rules!$A$2:$A$200&lt;&gt;""),Rules!$A$2:$A$200),""))</f>
        <v/>
      </c>
      <c r="G122" s="3" t="str">
        <f aca="false">IF($B122="","",IF(D122="Uncategorized","⚠ Review",IF(IFERROR(LOOKUP(2^15,SEARCH(Rules!$A$2:$A$200&amp;"",$B122)/(Rules!$A$2:$A$200&lt;&gt;""),Rules!$C$2:$C$200),"")&lt;&gt;E122,"⚠ Check sign","OK")))</f>
        <v/>
      </c>
    </row>
    <row r="123" customFormat="false" ht="15" hidden="false" customHeight="false" outlineLevel="0" collapsed="false">
      <c r="A123" s="3"/>
      <c r="B123" s="3"/>
      <c r="C123" s="3"/>
      <c r="D123" s="3" t="str">
        <f aca="false">IF($B123="","",IFERROR(LOOKUP(2^15,SEARCH(Rules!$A$2:$A$200&amp;"",$B123)/(Rules!$A$2:$A$200&lt;&gt;""),Rules!$B$2:$B$200),"Uncategorized"))</f>
        <v/>
      </c>
      <c r="E123" s="3" t="str">
        <f aca="false">IF($B123="","",IF($C123&gt;=0,"Income","Expense"))</f>
        <v/>
      </c>
      <c r="F123" s="3" t="str">
        <f aca="false">IF($B123="","",IFERROR(LOOKUP(2^15,SEARCH(Rules!$A$2:$A$200&amp;"",$B123)/(Rules!$A$2:$A$200&lt;&gt;""),Rules!$A$2:$A$200),""))</f>
        <v/>
      </c>
      <c r="G123" s="3" t="str">
        <f aca="false">IF($B123="","",IF(D123="Uncategorized","⚠ Review",IF(IFERROR(LOOKUP(2^15,SEARCH(Rules!$A$2:$A$200&amp;"",$B123)/(Rules!$A$2:$A$200&lt;&gt;""),Rules!$C$2:$C$200),"")&lt;&gt;E123,"⚠ Check sign","OK")))</f>
        <v/>
      </c>
    </row>
    <row r="124" customFormat="false" ht="15" hidden="false" customHeight="false" outlineLevel="0" collapsed="false">
      <c r="A124" s="3"/>
      <c r="B124" s="3"/>
      <c r="C124" s="3"/>
      <c r="D124" s="3" t="str">
        <f aca="false">IF($B124="","",IFERROR(LOOKUP(2^15,SEARCH(Rules!$A$2:$A$200&amp;"",$B124)/(Rules!$A$2:$A$200&lt;&gt;""),Rules!$B$2:$B$200),"Uncategorized"))</f>
        <v/>
      </c>
      <c r="E124" s="3" t="str">
        <f aca="false">IF($B124="","",IF($C124&gt;=0,"Income","Expense"))</f>
        <v/>
      </c>
      <c r="F124" s="3" t="str">
        <f aca="false">IF($B124="","",IFERROR(LOOKUP(2^15,SEARCH(Rules!$A$2:$A$200&amp;"",$B124)/(Rules!$A$2:$A$200&lt;&gt;""),Rules!$A$2:$A$200),""))</f>
        <v/>
      </c>
      <c r="G124" s="3" t="str">
        <f aca="false">IF($B124="","",IF(D124="Uncategorized","⚠ Review",IF(IFERROR(LOOKUP(2^15,SEARCH(Rules!$A$2:$A$200&amp;"",$B124)/(Rules!$A$2:$A$200&lt;&gt;""),Rules!$C$2:$C$200),"")&lt;&gt;E124,"⚠ Check sign","OK")))</f>
        <v/>
      </c>
    </row>
    <row r="125" customFormat="false" ht="15" hidden="false" customHeight="false" outlineLevel="0" collapsed="false">
      <c r="A125" s="3"/>
      <c r="B125" s="3"/>
      <c r="C125" s="3"/>
      <c r="D125" s="3" t="str">
        <f aca="false">IF($B125="","",IFERROR(LOOKUP(2^15,SEARCH(Rules!$A$2:$A$200&amp;"",$B125)/(Rules!$A$2:$A$200&lt;&gt;""),Rules!$B$2:$B$200),"Uncategorized"))</f>
        <v/>
      </c>
      <c r="E125" s="3" t="str">
        <f aca="false">IF($B125="","",IF($C125&gt;=0,"Income","Expense"))</f>
        <v/>
      </c>
      <c r="F125" s="3" t="str">
        <f aca="false">IF($B125="","",IFERROR(LOOKUP(2^15,SEARCH(Rules!$A$2:$A$200&amp;"",$B125)/(Rules!$A$2:$A$200&lt;&gt;""),Rules!$A$2:$A$200),""))</f>
        <v/>
      </c>
      <c r="G125" s="3" t="str">
        <f aca="false">IF($B125="","",IF(D125="Uncategorized","⚠ Review",IF(IFERROR(LOOKUP(2^15,SEARCH(Rules!$A$2:$A$200&amp;"",$B125)/(Rules!$A$2:$A$200&lt;&gt;""),Rules!$C$2:$C$200),"")&lt;&gt;E125,"⚠ Check sign","OK")))</f>
        <v/>
      </c>
    </row>
    <row r="126" customFormat="false" ht="15" hidden="false" customHeight="false" outlineLevel="0" collapsed="false">
      <c r="A126" s="3"/>
      <c r="B126" s="3"/>
      <c r="C126" s="3"/>
      <c r="D126" s="3" t="str">
        <f aca="false">IF($B126="","",IFERROR(LOOKUP(2^15,SEARCH(Rules!$A$2:$A$200&amp;"",$B126)/(Rules!$A$2:$A$200&lt;&gt;""),Rules!$B$2:$B$200),"Uncategorized"))</f>
        <v/>
      </c>
      <c r="E126" s="3" t="str">
        <f aca="false">IF($B126="","",IF($C126&gt;=0,"Income","Expense"))</f>
        <v/>
      </c>
      <c r="F126" s="3" t="str">
        <f aca="false">IF($B126="","",IFERROR(LOOKUP(2^15,SEARCH(Rules!$A$2:$A$200&amp;"",$B126)/(Rules!$A$2:$A$200&lt;&gt;""),Rules!$A$2:$A$200),""))</f>
        <v/>
      </c>
      <c r="G126" s="3" t="str">
        <f aca="false">IF($B126="","",IF(D126="Uncategorized","⚠ Review",IF(IFERROR(LOOKUP(2^15,SEARCH(Rules!$A$2:$A$200&amp;"",$B126)/(Rules!$A$2:$A$200&lt;&gt;""),Rules!$C$2:$C$200),"")&lt;&gt;E126,"⚠ Check sign","OK")))</f>
        <v/>
      </c>
    </row>
    <row r="127" customFormat="false" ht="15" hidden="false" customHeight="false" outlineLevel="0" collapsed="false">
      <c r="A127" s="3"/>
      <c r="B127" s="3"/>
      <c r="C127" s="3"/>
      <c r="D127" s="3" t="str">
        <f aca="false">IF($B127="","",IFERROR(LOOKUP(2^15,SEARCH(Rules!$A$2:$A$200&amp;"",$B127)/(Rules!$A$2:$A$200&lt;&gt;""),Rules!$B$2:$B$200),"Uncategorized"))</f>
        <v/>
      </c>
      <c r="E127" s="3" t="str">
        <f aca="false">IF($B127="","",IF($C127&gt;=0,"Income","Expense"))</f>
        <v/>
      </c>
      <c r="F127" s="3" t="str">
        <f aca="false">IF($B127="","",IFERROR(LOOKUP(2^15,SEARCH(Rules!$A$2:$A$200&amp;"",$B127)/(Rules!$A$2:$A$200&lt;&gt;""),Rules!$A$2:$A$200),""))</f>
        <v/>
      </c>
      <c r="G127" s="3" t="str">
        <f aca="false">IF($B127="","",IF(D127="Uncategorized","⚠ Review",IF(IFERROR(LOOKUP(2^15,SEARCH(Rules!$A$2:$A$200&amp;"",$B127)/(Rules!$A$2:$A$200&lt;&gt;""),Rules!$C$2:$C$200),"")&lt;&gt;E127,"⚠ Check sign","OK")))</f>
        <v/>
      </c>
    </row>
    <row r="128" customFormat="false" ht="15" hidden="false" customHeight="false" outlineLevel="0" collapsed="false">
      <c r="A128" s="3"/>
      <c r="B128" s="3"/>
      <c r="C128" s="3"/>
      <c r="D128" s="3" t="str">
        <f aca="false">IF($B128="","",IFERROR(LOOKUP(2^15,SEARCH(Rules!$A$2:$A$200&amp;"",$B128)/(Rules!$A$2:$A$200&lt;&gt;""),Rules!$B$2:$B$200),"Uncategorized"))</f>
        <v/>
      </c>
      <c r="E128" s="3" t="str">
        <f aca="false">IF($B128="","",IF($C128&gt;=0,"Income","Expense"))</f>
        <v/>
      </c>
      <c r="F128" s="3" t="str">
        <f aca="false">IF($B128="","",IFERROR(LOOKUP(2^15,SEARCH(Rules!$A$2:$A$200&amp;"",$B128)/(Rules!$A$2:$A$200&lt;&gt;""),Rules!$A$2:$A$200),""))</f>
        <v/>
      </c>
      <c r="G128" s="3" t="str">
        <f aca="false">IF($B128="","",IF(D128="Uncategorized","⚠ Review",IF(IFERROR(LOOKUP(2^15,SEARCH(Rules!$A$2:$A$200&amp;"",$B128)/(Rules!$A$2:$A$200&lt;&gt;""),Rules!$C$2:$C$200),"")&lt;&gt;E128,"⚠ Check sign","OK")))</f>
        <v/>
      </c>
    </row>
    <row r="129" customFormat="false" ht="15" hidden="false" customHeight="false" outlineLevel="0" collapsed="false">
      <c r="A129" s="3"/>
      <c r="B129" s="3"/>
      <c r="C129" s="3"/>
      <c r="D129" s="3" t="str">
        <f aca="false">IF($B129="","",IFERROR(LOOKUP(2^15,SEARCH(Rules!$A$2:$A$200&amp;"",$B129)/(Rules!$A$2:$A$200&lt;&gt;""),Rules!$B$2:$B$200),"Uncategorized"))</f>
        <v/>
      </c>
      <c r="E129" s="3" t="str">
        <f aca="false">IF($B129="","",IF($C129&gt;=0,"Income","Expense"))</f>
        <v/>
      </c>
      <c r="F129" s="3" t="str">
        <f aca="false">IF($B129="","",IFERROR(LOOKUP(2^15,SEARCH(Rules!$A$2:$A$200&amp;"",$B129)/(Rules!$A$2:$A$200&lt;&gt;""),Rules!$A$2:$A$200),""))</f>
        <v/>
      </c>
      <c r="G129" s="3" t="str">
        <f aca="false">IF($B129="","",IF(D129="Uncategorized","⚠ Review",IF(IFERROR(LOOKUP(2^15,SEARCH(Rules!$A$2:$A$200&amp;"",$B129)/(Rules!$A$2:$A$200&lt;&gt;""),Rules!$C$2:$C$200),"")&lt;&gt;E129,"⚠ Check sign","OK")))</f>
        <v/>
      </c>
    </row>
    <row r="130" customFormat="false" ht="15" hidden="false" customHeight="false" outlineLevel="0" collapsed="false">
      <c r="A130" s="3"/>
      <c r="B130" s="3"/>
      <c r="C130" s="3"/>
      <c r="D130" s="3" t="str">
        <f aca="false">IF($B130="","",IFERROR(LOOKUP(2^15,SEARCH(Rules!$A$2:$A$200&amp;"",$B130)/(Rules!$A$2:$A$200&lt;&gt;""),Rules!$B$2:$B$200),"Uncategorized"))</f>
        <v/>
      </c>
      <c r="E130" s="3" t="str">
        <f aca="false">IF($B130="","",IF($C130&gt;=0,"Income","Expense"))</f>
        <v/>
      </c>
      <c r="F130" s="3" t="str">
        <f aca="false">IF($B130="","",IFERROR(LOOKUP(2^15,SEARCH(Rules!$A$2:$A$200&amp;"",$B130)/(Rules!$A$2:$A$200&lt;&gt;""),Rules!$A$2:$A$200),""))</f>
        <v/>
      </c>
      <c r="G130" s="3" t="str">
        <f aca="false">IF($B130="","",IF(D130="Uncategorized","⚠ Review",IF(IFERROR(LOOKUP(2^15,SEARCH(Rules!$A$2:$A$200&amp;"",$B130)/(Rules!$A$2:$A$200&lt;&gt;""),Rules!$C$2:$C$200),"")&lt;&gt;E130,"⚠ Check sign","OK")))</f>
        <v/>
      </c>
    </row>
    <row r="131" customFormat="false" ht="15" hidden="false" customHeight="false" outlineLevel="0" collapsed="false">
      <c r="A131" s="3"/>
      <c r="B131" s="3"/>
      <c r="C131" s="3"/>
      <c r="D131" s="3" t="str">
        <f aca="false">IF($B131="","",IFERROR(LOOKUP(2^15,SEARCH(Rules!$A$2:$A$200&amp;"",$B131)/(Rules!$A$2:$A$200&lt;&gt;""),Rules!$B$2:$B$200),"Uncategorized"))</f>
        <v/>
      </c>
      <c r="E131" s="3" t="str">
        <f aca="false">IF($B131="","",IF($C131&gt;=0,"Income","Expense"))</f>
        <v/>
      </c>
      <c r="F131" s="3" t="str">
        <f aca="false">IF($B131="","",IFERROR(LOOKUP(2^15,SEARCH(Rules!$A$2:$A$200&amp;"",$B131)/(Rules!$A$2:$A$200&lt;&gt;""),Rules!$A$2:$A$200),""))</f>
        <v/>
      </c>
      <c r="G131" s="3" t="str">
        <f aca="false">IF($B131="","",IF(D131="Uncategorized","⚠ Review",IF(IFERROR(LOOKUP(2^15,SEARCH(Rules!$A$2:$A$200&amp;"",$B131)/(Rules!$A$2:$A$200&lt;&gt;""),Rules!$C$2:$C$200),"")&lt;&gt;E131,"⚠ Check sign","OK")))</f>
        <v/>
      </c>
    </row>
    <row r="132" customFormat="false" ht="15" hidden="false" customHeight="false" outlineLevel="0" collapsed="false">
      <c r="A132" s="3"/>
      <c r="B132" s="3"/>
      <c r="C132" s="3"/>
      <c r="D132" s="3" t="str">
        <f aca="false">IF($B132="","",IFERROR(LOOKUP(2^15,SEARCH(Rules!$A$2:$A$200&amp;"",$B132)/(Rules!$A$2:$A$200&lt;&gt;""),Rules!$B$2:$B$200),"Uncategorized"))</f>
        <v/>
      </c>
      <c r="E132" s="3" t="str">
        <f aca="false">IF($B132="","",IF($C132&gt;=0,"Income","Expense"))</f>
        <v/>
      </c>
      <c r="F132" s="3" t="str">
        <f aca="false">IF($B132="","",IFERROR(LOOKUP(2^15,SEARCH(Rules!$A$2:$A$200&amp;"",$B132)/(Rules!$A$2:$A$200&lt;&gt;""),Rules!$A$2:$A$200),""))</f>
        <v/>
      </c>
      <c r="G132" s="3" t="str">
        <f aca="false">IF($B132="","",IF(D132="Uncategorized","⚠ Review",IF(IFERROR(LOOKUP(2^15,SEARCH(Rules!$A$2:$A$200&amp;"",$B132)/(Rules!$A$2:$A$200&lt;&gt;""),Rules!$C$2:$C$200),"")&lt;&gt;E132,"⚠ Check sign","OK")))</f>
        <v/>
      </c>
    </row>
    <row r="133" customFormat="false" ht="15" hidden="false" customHeight="false" outlineLevel="0" collapsed="false">
      <c r="A133" s="3"/>
      <c r="B133" s="3"/>
      <c r="C133" s="3"/>
      <c r="D133" s="3" t="str">
        <f aca="false">IF($B133="","",IFERROR(LOOKUP(2^15,SEARCH(Rules!$A$2:$A$200&amp;"",$B133)/(Rules!$A$2:$A$200&lt;&gt;""),Rules!$B$2:$B$200),"Uncategorized"))</f>
        <v/>
      </c>
      <c r="E133" s="3" t="str">
        <f aca="false">IF($B133="","",IF($C133&gt;=0,"Income","Expense"))</f>
        <v/>
      </c>
      <c r="F133" s="3" t="str">
        <f aca="false">IF($B133="","",IFERROR(LOOKUP(2^15,SEARCH(Rules!$A$2:$A$200&amp;"",$B133)/(Rules!$A$2:$A$200&lt;&gt;""),Rules!$A$2:$A$200),""))</f>
        <v/>
      </c>
      <c r="G133" s="3" t="str">
        <f aca="false">IF($B133="","",IF(D133="Uncategorized","⚠ Review",IF(IFERROR(LOOKUP(2^15,SEARCH(Rules!$A$2:$A$200&amp;"",$B133)/(Rules!$A$2:$A$200&lt;&gt;""),Rules!$C$2:$C$200),"")&lt;&gt;E133,"⚠ Check sign","OK")))</f>
        <v/>
      </c>
    </row>
    <row r="134" customFormat="false" ht="15" hidden="false" customHeight="false" outlineLevel="0" collapsed="false">
      <c r="A134" s="3"/>
      <c r="B134" s="3"/>
      <c r="C134" s="3"/>
      <c r="D134" s="3" t="str">
        <f aca="false">IF($B134="","",IFERROR(LOOKUP(2^15,SEARCH(Rules!$A$2:$A$200&amp;"",$B134)/(Rules!$A$2:$A$200&lt;&gt;""),Rules!$B$2:$B$200),"Uncategorized"))</f>
        <v/>
      </c>
      <c r="E134" s="3" t="str">
        <f aca="false">IF($B134="","",IF($C134&gt;=0,"Income","Expense"))</f>
        <v/>
      </c>
      <c r="F134" s="3" t="str">
        <f aca="false">IF($B134="","",IFERROR(LOOKUP(2^15,SEARCH(Rules!$A$2:$A$200&amp;"",$B134)/(Rules!$A$2:$A$200&lt;&gt;""),Rules!$A$2:$A$200),""))</f>
        <v/>
      </c>
      <c r="G134" s="3" t="str">
        <f aca="false">IF($B134="","",IF(D134="Uncategorized","⚠ Review",IF(IFERROR(LOOKUP(2^15,SEARCH(Rules!$A$2:$A$200&amp;"",$B134)/(Rules!$A$2:$A$200&lt;&gt;""),Rules!$C$2:$C$200),"")&lt;&gt;E134,"⚠ Check sign","OK")))</f>
        <v/>
      </c>
    </row>
    <row r="135" customFormat="false" ht="15" hidden="false" customHeight="false" outlineLevel="0" collapsed="false">
      <c r="A135" s="3"/>
      <c r="B135" s="3"/>
      <c r="C135" s="3"/>
      <c r="D135" s="3" t="str">
        <f aca="false">IF($B135="","",IFERROR(LOOKUP(2^15,SEARCH(Rules!$A$2:$A$200&amp;"",$B135)/(Rules!$A$2:$A$200&lt;&gt;""),Rules!$B$2:$B$200),"Uncategorized"))</f>
        <v/>
      </c>
      <c r="E135" s="3" t="str">
        <f aca="false">IF($B135="","",IF($C135&gt;=0,"Income","Expense"))</f>
        <v/>
      </c>
      <c r="F135" s="3" t="str">
        <f aca="false">IF($B135="","",IFERROR(LOOKUP(2^15,SEARCH(Rules!$A$2:$A$200&amp;"",$B135)/(Rules!$A$2:$A$200&lt;&gt;""),Rules!$A$2:$A$200),""))</f>
        <v/>
      </c>
      <c r="G135" s="3" t="str">
        <f aca="false">IF($B135="","",IF(D135="Uncategorized","⚠ Review",IF(IFERROR(LOOKUP(2^15,SEARCH(Rules!$A$2:$A$200&amp;"",$B135)/(Rules!$A$2:$A$200&lt;&gt;""),Rules!$C$2:$C$200),"")&lt;&gt;E135,"⚠ Check sign","OK")))</f>
        <v/>
      </c>
    </row>
    <row r="136" customFormat="false" ht="15" hidden="false" customHeight="false" outlineLevel="0" collapsed="false">
      <c r="A136" s="3"/>
      <c r="B136" s="3"/>
      <c r="C136" s="3"/>
      <c r="D136" s="3" t="str">
        <f aca="false">IF($B136="","",IFERROR(LOOKUP(2^15,SEARCH(Rules!$A$2:$A$200&amp;"",$B136)/(Rules!$A$2:$A$200&lt;&gt;""),Rules!$B$2:$B$200),"Uncategorized"))</f>
        <v/>
      </c>
      <c r="E136" s="3" t="str">
        <f aca="false">IF($B136="","",IF($C136&gt;=0,"Income","Expense"))</f>
        <v/>
      </c>
      <c r="F136" s="3" t="str">
        <f aca="false">IF($B136="","",IFERROR(LOOKUP(2^15,SEARCH(Rules!$A$2:$A$200&amp;"",$B136)/(Rules!$A$2:$A$200&lt;&gt;""),Rules!$A$2:$A$200),""))</f>
        <v/>
      </c>
      <c r="G136" s="3" t="str">
        <f aca="false">IF($B136="","",IF(D136="Uncategorized","⚠ Review",IF(IFERROR(LOOKUP(2^15,SEARCH(Rules!$A$2:$A$200&amp;"",$B136)/(Rules!$A$2:$A$200&lt;&gt;""),Rules!$C$2:$C$200),"")&lt;&gt;E136,"⚠ Check sign","OK")))</f>
        <v/>
      </c>
    </row>
    <row r="137" customFormat="false" ht="15" hidden="false" customHeight="false" outlineLevel="0" collapsed="false">
      <c r="A137" s="3"/>
      <c r="B137" s="3"/>
      <c r="C137" s="3"/>
      <c r="D137" s="3" t="str">
        <f aca="false">IF($B137="","",IFERROR(LOOKUP(2^15,SEARCH(Rules!$A$2:$A$200&amp;"",$B137)/(Rules!$A$2:$A$200&lt;&gt;""),Rules!$B$2:$B$200),"Uncategorized"))</f>
        <v/>
      </c>
      <c r="E137" s="3" t="str">
        <f aca="false">IF($B137="","",IF($C137&gt;=0,"Income","Expense"))</f>
        <v/>
      </c>
      <c r="F137" s="3" t="str">
        <f aca="false">IF($B137="","",IFERROR(LOOKUP(2^15,SEARCH(Rules!$A$2:$A$200&amp;"",$B137)/(Rules!$A$2:$A$200&lt;&gt;""),Rules!$A$2:$A$200),""))</f>
        <v/>
      </c>
      <c r="G137" s="3" t="str">
        <f aca="false">IF($B137="","",IF(D137="Uncategorized","⚠ Review",IF(IFERROR(LOOKUP(2^15,SEARCH(Rules!$A$2:$A$200&amp;"",$B137)/(Rules!$A$2:$A$200&lt;&gt;""),Rules!$C$2:$C$200),"")&lt;&gt;E137,"⚠ Check sign","OK")))</f>
        <v/>
      </c>
    </row>
    <row r="138" customFormat="false" ht="15" hidden="false" customHeight="false" outlineLevel="0" collapsed="false">
      <c r="A138" s="3"/>
      <c r="B138" s="3"/>
      <c r="C138" s="3"/>
      <c r="D138" s="3" t="str">
        <f aca="false">IF($B138="","",IFERROR(LOOKUP(2^15,SEARCH(Rules!$A$2:$A$200&amp;"",$B138)/(Rules!$A$2:$A$200&lt;&gt;""),Rules!$B$2:$B$200),"Uncategorized"))</f>
        <v/>
      </c>
      <c r="E138" s="3" t="str">
        <f aca="false">IF($B138="","",IF($C138&gt;=0,"Income","Expense"))</f>
        <v/>
      </c>
      <c r="F138" s="3" t="str">
        <f aca="false">IF($B138="","",IFERROR(LOOKUP(2^15,SEARCH(Rules!$A$2:$A$200&amp;"",$B138)/(Rules!$A$2:$A$200&lt;&gt;""),Rules!$A$2:$A$200),""))</f>
        <v/>
      </c>
      <c r="G138" s="3" t="str">
        <f aca="false">IF($B138="","",IF(D138="Uncategorized","⚠ Review",IF(IFERROR(LOOKUP(2^15,SEARCH(Rules!$A$2:$A$200&amp;"",$B138)/(Rules!$A$2:$A$200&lt;&gt;""),Rules!$C$2:$C$200),"")&lt;&gt;E138,"⚠ Check sign","OK")))</f>
        <v/>
      </c>
    </row>
    <row r="139" customFormat="false" ht="15" hidden="false" customHeight="false" outlineLevel="0" collapsed="false">
      <c r="A139" s="3"/>
      <c r="B139" s="3"/>
      <c r="C139" s="3"/>
      <c r="D139" s="3" t="str">
        <f aca="false">IF($B139="","",IFERROR(LOOKUP(2^15,SEARCH(Rules!$A$2:$A$200&amp;"",$B139)/(Rules!$A$2:$A$200&lt;&gt;""),Rules!$B$2:$B$200),"Uncategorized"))</f>
        <v/>
      </c>
      <c r="E139" s="3" t="str">
        <f aca="false">IF($B139="","",IF($C139&gt;=0,"Income","Expense"))</f>
        <v/>
      </c>
      <c r="F139" s="3" t="str">
        <f aca="false">IF($B139="","",IFERROR(LOOKUP(2^15,SEARCH(Rules!$A$2:$A$200&amp;"",$B139)/(Rules!$A$2:$A$200&lt;&gt;""),Rules!$A$2:$A$200),""))</f>
        <v/>
      </c>
      <c r="G139" s="3" t="str">
        <f aca="false">IF($B139="","",IF(D139="Uncategorized","⚠ Review",IF(IFERROR(LOOKUP(2^15,SEARCH(Rules!$A$2:$A$200&amp;"",$B139)/(Rules!$A$2:$A$200&lt;&gt;""),Rules!$C$2:$C$200),"")&lt;&gt;E139,"⚠ Check sign","OK")))</f>
        <v/>
      </c>
    </row>
    <row r="140" customFormat="false" ht="15" hidden="false" customHeight="false" outlineLevel="0" collapsed="false">
      <c r="A140" s="3"/>
      <c r="B140" s="3"/>
      <c r="C140" s="3"/>
      <c r="D140" s="3" t="str">
        <f aca="false">IF($B140="","",IFERROR(LOOKUP(2^15,SEARCH(Rules!$A$2:$A$200&amp;"",$B140)/(Rules!$A$2:$A$200&lt;&gt;""),Rules!$B$2:$B$200),"Uncategorized"))</f>
        <v/>
      </c>
      <c r="E140" s="3" t="str">
        <f aca="false">IF($B140="","",IF($C140&gt;=0,"Income","Expense"))</f>
        <v/>
      </c>
      <c r="F140" s="3" t="str">
        <f aca="false">IF($B140="","",IFERROR(LOOKUP(2^15,SEARCH(Rules!$A$2:$A$200&amp;"",$B140)/(Rules!$A$2:$A$200&lt;&gt;""),Rules!$A$2:$A$200),""))</f>
        <v/>
      </c>
      <c r="G140" s="3" t="str">
        <f aca="false">IF($B140="","",IF(D140="Uncategorized","⚠ Review",IF(IFERROR(LOOKUP(2^15,SEARCH(Rules!$A$2:$A$200&amp;"",$B140)/(Rules!$A$2:$A$200&lt;&gt;""),Rules!$C$2:$C$200),"")&lt;&gt;E140,"⚠ Check sign","OK")))</f>
        <v/>
      </c>
    </row>
    <row r="141" customFormat="false" ht="15" hidden="false" customHeight="false" outlineLevel="0" collapsed="false">
      <c r="A141" s="3"/>
      <c r="B141" s="3"/>
      <c r="C141" s="3"/>
      <c r="D141" s="3" t="str">
        <f aca="false">IF($B141="","",IFERROR(LOOKUP(2^15,SEARCH(Rules!$A$2:$A$200&amp;"",$B141)/(Rules!$A$2:$A$200&lt;&gt;""),Rules!$B$2:$B$200),"Uncategorized"))</f>
        <v/>
      </c>
      <c r="E141" s="3" t="str">
        <f aca="false">IF($B141="","",IF($C141&gt;=0,"Income","Expense"))</f>
        <v/>
      </c>
      <c r="F141" s="3" t="str">
        <f aca="false">IF($B141="","",IFERROR(LOOKUP(2^15,SEARCH(Rules!$A$2:$A$200&amp;"",$B141)/(Rules!$A$2:$A$200&lt;&gt;""),Rules!$A$2:$A$200),""))</f>
        <v/>
      </c>
      <c r="G141" s="3" t="str">
        <f aca="false">IF($B141="","",IF(D141="Uncategorized","⚠ Review",IF(IFERROR(LOOKUP(2^15,SEARCH(Rules!$A$2:$A$200&amp;"",$B141)/(Rules!$A$2:$A$200&lt;&gt;""),Rules!$C$2:$C$200),"")&lt;&gt;E141,"⚠ Check sign","OK")))</f>
        <v/>
      </c>
    </row>
    <row r="142" customFormat="false" ht="15" hidden="false" customHeight="false" outlineLevel="0" collapsed="false">
      <c r="A142" s="3"/>
      <c r="B142" s="3"/>
      <c r="C142" s="3"/>
      <c r="D142" s="3" t="str">
        <f aca="false">IF($B142="","",IFERROR(LOOKUP(2^15,SEARCH(Rules!$A$2:$A$200&amp;"",$B142)/(Rules!$A$2:$A$200&lt;&gt;""),Rules!$B$2:$B$200),"Uncategorized"))</f>
        <v/>
      </c>
      <c r="E142" s="3" t="str">
        <f aca="false">IF($B142="","",IF($C142&gt;=0,"Income","Expense"))</f>
        <v/>
      </c>
      <c r="F142" s="3" t="str">
        <f aca="false">IF($B142="","",IFERROR(LOOKUP(2^15,SEARCH(Rules!$A$2:$A$200&amp;"",$B142)/(Rules!$A$2:$A$200&lt;&gt;""),Rules!$A$2:$A$200),""))</f>
        <v/>
      </c>
      <c r="G142" s="3" t="str">
        <f aca="false">IF($B142="","",IF(D142="Uncategorized","⚠ Review",IF(IFERROR(LOOKUP(2^15,SEARCH(Rules!$A$2:$A$200&amp;"",$B142)/(Rules!$A$2:$A$200&lt;&gt;""),Rules!$C$2:$C$200),"")&lt;&gt;E142,"⚠ Check sign","OK")))</f>
        <v/>
      </c>
    </row>
    <row r="143" customFormat="false" ht="15" hidden="false" customHeight="false" outlineLevel="0" collapsed="false">
      <c r="A143" s="3"/>
      <c r="B143" s="3"/>
      <c r="C143" s="3"/>
      <c r="D143" s="3" t="str">
        <f aca="false">IF($B143="","",IFERROR(LOOKUP(2^15,SEARCH(Rules!$A$2:$A$200&amp;"",$B143)/(Rules!$A$2:$A$200&lt;&gt;""),Rules!$B$2:$B$200),"Uncategorized"))</f>
        <v/>
      </c>
      <c r="E143" s="3" t="str">
        <f aca="false">IF($B143="","",IF($C143&gt;=0,"Income","Expense"))</f>
        <v/>
      </c>
      <c r="F143" s="3" t="str">
        <f aca="false">IF($B143="","",IFERROR(LOOKUP(2^15,SEARCH(Rules!$A$2:$A$200&amp;"",$B143)/(Rules!$A$2:$A$200&lt;&gt;""),Rules!$A$2:$A$200),""))</f>
        <v/>
      </c>
      <c r="G143" s="3" t="str">
        <f aca="false">IF($B143="","",IF(D143="Uncategorized","⚠ Review",IF(IFERROR(LOOKUP(2^15,SEARCH(Rules!$A$2:$A$200&amp;"",$B143)/(Rules!$A$2:$A$200&lt;&gt;""),Rules!$C$2:$C$200),"")&lt;&gt;E143,"⚠ Check sign","OK")))</f>
        <v/>
      </c>
    </row>
    <row r="144" customFormat="false" ht="15" hidden="false" customHeight="false" outlineLevel="0" collapsed="false">
      <c r="A144" s="3"/>
      <c r="B144" s="3"/>
      <c r="C144" s="3"/>
      <c r="D144" s="3" t="str">
        <f aca="false">IF($B144="","",IFERROR(LOOKUP(2^15,SEARCH(Rules!$A$2:$A$200&amp;"",$B144)/(Rules!$A$2:$A$200&lt;&gt;""),Rules!$B$2:$B$200),"Uncategorized"))</f>
        <v/>
      </c>
      <c r="E144" s="3" t="str">
        <f aca="false">IF($B144="","",IF($C144&gt;=0,"Income","Expense"))</f>
        <v/>
      </c>
      <c r="F144" s="3" t="str">
        <f aca="false">IF($B144="","",IFERROR(LOOKUP(2^15,SEARCH(Rules!$A$2:$A$200&amp;"",$B144)/(Rules!$A$2:$A$200&lt;&gt;""),Rules!$A$2:$A$200),""))</f>
        <v/>
      </c>
      <c r="G144" s="3" t="str">
        <f aca="false">IF($B144="","",IF(D144="Uncategorized","⚠ Review",IF(IFERROR(LOOKUP(2^15,SEARCH(Rules!$A$2:$A$200&amp;"",$B144)/(Rules!$A$2:$A$200&lt;&gt;""),Rules!$C$2:$C$200),"")&lt;&gt;E144,"⚠ Check sign","OK")))</f>
        <v/>
      </c>
    </row>
    <row r="145" customFormat="false" ht="15" hidden="false" customHeight="false" outlineLevel="0" collapsed="false">
      <c r="A145" s="3"/>
      <c r="B145" s="3"/>
      <c r="C145" s="3"/>
      <c r="D145" s="3" t="str">
        <f aca="false">IF($B145="","",IFERROR(LOOKUP(2^15,SEARCH(Rules!$A$2:$A$200&amp;"",$B145)/(Rules!$A$2:$A$200&lt;&gt;""),Rules!$B$2:$B$200),"Uncategorized"))</f>
        <v/>
      </c>
      <c r="E145" s="3" t="str">
        <f aca="false">IF($B145="","",IF($C145&gt;=0,"Income","Expense"))</f>
        <v/>
      </c>
      <c r="F145" s="3" t="str">
        <f aca="false">IF($B145="","",IFERROR(LOOKUP(2^15,SEARCH(Rules!$A$2:$A$200&amp;"",$B145)/(Rules!$A$2:$A$200&lt;&gt;""),Rules!$A$2:$A$200),""))</f>
        <v/>
      </c>
      <c r="G145" s="3" t="str">
        <f aca="false">IF($B145="","",IF(D145="Uncategorized","⚠ Review",IF(IFERROR(LOOKUP(2^15,SEARCH(Rules!$A$2:$A$200&amp;"",$B145)/(Rules!$A$2:$A$200&lt;&gt;""),Rules!$C$2:$C$200),"")&lt;&gt;E145,"⚠ Check sign","OK")))</f>
        <v/>
      </c>
    </row>
    <row r="146" customFormat="false" ht="15" hidden="false" customHeight="false" outlineLevel="0" collapsed="false">
      <c r="A146" s="3"/>
      <c r="B146" s="3"/>
      <c r="C146" s="3"/>
      <c r="D146" s="3" t="str">
        <f aca="false">IF($B146="","",IFERROR(LOOKUP(2^15,SEARCH(Rules!$A$2:$A$200&amp;"",$B146)/(Rules!$A$2:$A$200&lt;&gt;""),Rules!$B$2:$B$200),"Uncategorized"))</f>
        <v/>
      </c>
      <c r="E146" s="3" t="str">
        <f aca="false">IF($B146="","",IF($C146&gt;=0,"Income","Expense"))</f>
        <v/>
      </c>
      <c r="F146" s="3" t="str">
        <f aca="false">IF($B146="","",IFERROR(LOOKUP(2^15,SEARCH(Rules!$A$2:$A$200&amp;"",$B146)/(Rules!$A$2:$A$200&lt;&gt;""),Rules!$A$2:$A$200),""))</f>
        <v/>
      </c>
      <c r="G146" s="3" t="str">
        <f aca="false">IF($B146="","",IF(D146="Uncategorized","⚠ Review",IF(IFERROR(LOOKUP(2^15,SEARCH(Rules!$A$2:$A$200&amp;"",$B146)/(Rules!$A$2:$A$200&lt;&gt;""),Rules!$C$2:$C$200),"")&lt;&gt;E146,"⚠ Check sign","OK")))</f>
        <v/>
      </c>
    </row>
    <row r="147" customFormat="false" ht="15" hidden="false" customHeight="false" outlineLevel="0" collapsed="false">
      <c r="A147" s="3"/>
      <c r="B147" s="3"/>
      <c r="C147" s="3"/>
      <c r="D147" s="3" t="str">
        <f aca="false">IF($B147="","",IFERROR(LOOKUP(2^15,SEARCH(Rules!$A$2:$A$200&amp;"",$B147)/(Rules!$A$2:$A$200&lt;&gt;""),Rules!$B$2:$B$200),"Uncategorized"))</f>
        <v/>
      </c>
      <c r="E147" s="3" t="str">
        <f aca="false">IF($B147="","",IF($C147&gt;=0,"Income","Expense"))</f>
        <v/>
      </c>
      <c r="F147" s="3" t="str">
        <f aca="false">IF($B147="","",IFERROR(LOOKUP(2^15,SEARCH(Rules!$A$2:$A$200&amp;"",$B147)/(Rules!$A$2:$A$200&lt;&gt;""),Rules!$A$2:$A$200),""))</f>
        <v/>
      </c>
      <c r="G147" s="3" t="str">
        <f aca="false">IF($B147="","",IF(D147="Uncategorized","⚠ Review",IF(IFERROR(LOOKUP(2^15,SEARCH(Rules!$A$2:$A$200&amp;"",$B147)/(Rules!$A$2:$A$200&lt;&gt;""),Rules!$C$2:$C$200),"")&lt;&gt;E147,"⚠ Check sign","OK")))</f>
        <v/>
      </c>
    </row>
    <row r="148" customFormat="false" ht="15" hidden="false" customHeight="false" outlineLevel="0" collapsed="false">
      <c r="A148" s="3"/>
      <c r="B148" s="3"/>
      <c r="C148" s="3"/>
      <c r="D148" s="3" t="str">
        <f aca="false">IF($B148="","",IFERROR(LOOKUP(2^15,SEARCH(Rules!$A$2:$A$200&amp;"",$B148)/(Rules!$A$2:$A$200&lt;&gt;""),Rules!$B$2:$B$200),"Uncategorized"))</f>
        <v/>
      </c>
      <c r="E148" s="3" t="str">
        <f aca="false">IF($B148="","",IF($C148&gt;=0,"Income","Expense"))</f>
        <v/>
      </c>
      <c r="F148" s="3" t="str">
        <f aca="false">IF($B148="","",IFERROR(LOOKUP(2^15,SEARCH(Rules!$A$2:$A$200&amp;"",$B148)/(Rules!$A$2:$A$200&lt;&gt;""),Rules!$A$2:$A$200),""))</f>
        <v/>
      </c>
      <c r="G148" s="3" t="str">
        <f aca="false">IF($B148="","",IF(D148="Uncategorized","⚠ Review",IF(IFERROR(LOOKUP(2^15,SEARCH(Rules!$A$2:$A$200&amp;"",$B148)/(Rules!$A$2:$A$200&lt;&gt;""),Rules!$C$2:$C$200),"")&lt;&gt;E148,"⚠ Check sign","OK")))</f>
        <v/>
      </c>
    </row>
    <row r="149" customFormat="false" ht="15" hidden="false" customHeight="false" outlineLevel="0" collapsed="false">
      <c r="A149" s="3"/>
      <c r="B149" s="3"/>
      <c r="C149" s="3"/>
      <c r="D149" s="3" t="str">
        <f aca="false">IF($B149="","",IFERROR(LOOKUP(2^15,SEARCH(Rules!$A$2:$A$200&amp;"",$B149)/(Rules!$A$2:$A$200&lt;&gt;""),Rules!$B$2:$B$200),"Uncategorized"))</f>
        <v/>
      </c>
      <c r="E149" s="3" t="str">
        <f aca="false">IF($B149="","",IF($C149&gt;=0,"Income","Expense"))</f>
        <v/>
      </c>
      <c r="F149" s="3" t="str">
        <f aca="false">IF($B149="","",IFERROR(LOOKUP(2^15,SEARCH(Rules!$A$2:$A$200&amp;"",$B149)/(Rules!$A$2:$A$200&lt;&gt;""),Rules!$A$2:$A$200),""))</f>
        <v/>
      </c>
      <c r="G149" s="3" t="str">
        <f aca="false">IF($B149="","",IF(D149="Uncategorized","⚠ Review",IF(IFERROR(LOOKUP(2^15,SEARCH(Rules!$A$2:$A$200&amp;"",$B149)/(Rules!$A$2:$A$200&lt;&gt;""),Rules!$C$2:$C$200),"")&lt;&gt;E149,"⚠ Check sign","OK")))</f>
        <v/>
      </c>
    </row>
    <row r="150" customFormat="false" ht="15" hidden="false" customHeight="false" outlineLevel="0" collapsed="false">
      <c r="A150" s="3"/>
      <c r="B150" s="3"/>
      <c r="C150" s="3"/>
      <c r="D150" s="3" t="str">
        <f aca="false">IF($B150="","",IFERROR(LOOKUP(2^15,SEARCH(Rules!$A$2:$A$200&amp;"",$B150)/(Rules!$A$2:$A$200&lt;&gt;""),Rules!$B$2:$B$200),"Uncategorized"))</f>
        <v/>
      </c>
      <c r="E150" s="3" t="str">
        <f aca="false">IF($B150="","",IF($C150&gt;=0,"Income","Expense"))</f>
        <v/>
      </c>
      <c r="F150" s="3" t="str">
        <f aca="false">IF($B150="","",IFERROR(LOOKUP(2^15,SEARCH(Rules!$A$2:$A$200&amp;"",$B150)/(Rules!$A$2:$A$200&lt;&gt;""),Rules!$A$2:$A$200),""))</f>
        <v/>
      </c>
      <c r="G150" s="3" t="str">
        <f aca="false">IF($B150="","",IF(D150="Uncategorized","⚠ Review",IF(IFERROR(LOOKUP(2^15,SEARCH(Rules!$A$2:$A$200&amp;"",$B150)/(Rules!$A$2:$A$200&lt;&gt;""),Rules!$C$2:$C$200),"")&lt;&gt;E150,"⚠ Check sign","OK")))</f>
        <v/>
      </c>
    </row>
    <row r="151" customFormat="false" ht="15" hidden="false" customHeight="false" outlineLevel="0" collapsed="false">
      <c r="A151" s="3"/>
      <c r="B151" s="3"/>
      <c r="C151" s="3"/>
      <c r="D151" s="3" t="str">
        <f aca="false">IF($B151="","",IFERROR(LOOKUP(2^15,SEARCH(Rules!$A$2:$A$200&amp;"",$B151)/(Rules!$A$2:$A$200&lt;&gt;""),Rules!$B$2:$B$200),"Uncategorized"))</f>
        <v/>
      </c>
      <c r="E151" s="3" t="str">
        <f aca="false">IF($B151="","",IF($C151&gt;=0,"Income","Expense"))</f>
        <v/>
      </c>
      <c r="F151" s="3" t="str">
        <f aca="false">IF($B151="","",IFERROR(LOOKUP(2^15,SEARCH(Rules!$A$2:$A$200&amp;"",$B151)/(Rules!$A$2:$A$200&lt;&gt;""),Rules!$A$2:$A$200),""))</f>
        <v/>
      </c>
      <c r="G151" s="3" t="str">
        <f aca="false">IF($B151="","",IF(D151="Uncategorized","⚠ Review",IF(IFERROR(LOOKUP(2^15,SEARCH(Rules!$A$2:$A$200&amp;"",$B151)/(Rules!$A$2:$A$200&lt;&gt;""),Rules!$C$2:$C$200),"")&lt;&gt;E151,"⚠ Check sign","OK")))</f>
        <v/>
      </c>
    </row>
    <row r="152" customFormat="false" ht="15" hidden="false" customHeight="false" outlineLevel="0" collapsed="false">
      <c r="A152" s="3"/>
      <c r="B152" s="3"/>
      <c r="C152" s="3"/>
      <c r="D152" s="3" t="str">
        <f aca="false">IF($B152="","",IFERROR(LOOKUP(2^15,SEARCH(Rules!$A$2:$A$200&amp;"",$B152)/(Rules!$A$2:$A$200&lt;&gt;""),Rules!$B$2:$B$200),"Uncategorized"))</f>
        <v/>
      </c>
      <c r="E152" s="3" t="str">
        <f aca="false">IF($B152="","",IF($C152&gt;=0,"Income","Expense"))</f>
        <v/>
      </c>
      <c r="F152" s="3" t="str">
        <f aca="false">IF($B152="","",IFERROR(LOOKUP(2^15,SEARCH(Rules!$A$2:$A$200&amp;"",$B152)/(Rules!$A$2:$A$200&lt;&gt;""),Rules!$A$2:$A$200),""))</f>
        <v/>
      </c>
      <c r="G152" s="3" t="str">
        <f aca="false">IF($B152="","",IF(D152="Uncategorized","⚠ Review",IF(IFERROR(LOOKUP(2^15,SEARCH(Rules!$A$2:$A$200&amp;"",$B152)/(Rules!$A$2:$A$200&lt;&gt;""),Rules!$C$2:$C$200),"")&lt;&gt;E152,"⚠ Check sign","OK")))</f>
        <v/>
      </c>
    </row>
    <row r="153" customFormat="false" ht="15" hidden="false" customHeight="false" outlineLevel="0" collapsed="false">
      <c r="A153" s="3"/>
      <c r="B153" s="3"/>
      <c r="C153" s="3"/>
      <c r="D153" s="3" t="str">
        <f aca="false">IF($B153="","",IFERROR(LOOKUP(2^15,SEARCH(Rules!$A$2:$A$200&amp;"",$B153)/(Rules!$A$2:$A$200&lt;&gt;""),Rules!$B$2:$B$200),"Uncategorized"))</f>
        <v/>
      </c>
      <c r="E153" s="3" t="str">
        <f aca="false">IF($B153="","",IF($C153&gt;=0,"Income","Expense"))</f>
        <v/>
      </c>
      <c r="F153" s="3" t="str">
        <f aca="false">IF($B153="","",IFERROR(LOOKUP(2^15,SEARCH(Rules!$A$2:$A$200&amp;"",$B153)/(Rules!$A$2:$A$200&lt;&gt;""),Rules!$A$2:$A$200),""))</f>
        <v/>
      </c>
      <c r="G153" s="3" t="str">
        <f aca="false">IF($B153="","",IF(D153="Uncategorized","⚠ Review",IF(IFERROR(LOOKUP(2^15,SEARCH(Rules!$A$2:$A$200&amp;"",$B153)/(Rules!$A$2:$A$200&lt;&gt;""),Rules!$C$2:$C$200),"")&lt;&gt;E153,"⚠ Check sign","OK")))</f>
        <v/>
      </c>
    </row>
    <row r="154" customFormat="false" ht="15" hidden="false" customHeight="false" outlineLevel="0" collapsed="false">
      <c r="A154" s="3"/>
      <c r="B154" s="3"/>
      <c r="C154" s="3"/>
      <c r="D154" s="3" t="str">
        <f aca="false">IF($B154="","",IFERROR(LOOKUP(2^15,SEARCH(Rules!$A$2:$A$200&amp;"",$B154)/(Rules!$A$2:$A$200&lt;&gt;""),Rules!$B$2:$B$200),"Uncategorized"))</f>
        <v/>
      </c>
      <c r="E154" s="3" t="str">
        <f aca="false">IF($B154="","",IF($C154&gt;=0,"Income","Expense"))</f>
        <v/>
      </c>
      <c r="F154" s="3" t="str">
        <f aca="false">IF($B154="","",IFERROR(LOOKUP(2^15,SEARCH(Rules!$A$2:$A$200&amp;"",$B154)/(Rules!$A$2:$A$200&lt;&gt;""),Rules!$A$2:$A$200),""))</f>
        <v/>
      </c>
      <c r="G154" s="3" t="str">
        <f aca="false">IF($B154="","",IF(D154="Uncategorized","⚠ Review",IF(IFERROR(LOOKUP(2^15,SEARCH(Rules!$A$2:$A$200&amp;"",$B154)/(Rules!$A$2:$A$200&lt;&gt;""),Rules!$C$2:$C$200),"")&lt;&gt;E154,"⚠ Check sign","OK")))</f>
        <v/>
      </c>
    </row>
    <row r="155" customFormat="false" ht="15" hidden="false" customHeight="false" outlineLevel="0" collapsed="false">
      <c r="A155" s="3"/>
      <c r="B155" s="3"/>
      <c r="C155" s="3"/>
      <c r="D155" s="3" t="str">
        <f aca="false">IF($B155="","",IFERROR(LOOKUP(2^15,SEARCH(Rules!$A$2:$A$200&amp;"",$B155)/(Rules!$A$2:$A$200&lt;&gt;""),Rules!$B$2:$B$200),"Uncategorized"))</f>
        <v/>
      </c>
      <c r="E155" s="3" t="str">
        <f aca="false">IF($B155="","",IF($C155&gt;=0,"Income","Expense"))</f>
        <v/>
      </c>
      <c r="F155" s="3" t="str">
        <f aca="false">IF($B155="","",IFERROR(LOOKUP(2^15,SEARCH(Rules!$A$2:$A$200&amp;"",$B155)/(Rules!$A$2:$A$200&lt;&gt;""),Rules!$A$2:$A$200),""))</f>
        <v/>
      </c>
      <c r="G155" s="3" t="str">
        <f aca="false">IF($B155="","",IF(D155="Uncategorized","⚠ Review",IF(IFERROR(LOOKUP(2^15,SEARCH(Rules!$A$2:$A$200&amp;"",$B155)/(Rules!$A$2:$A$200&lt;&gt;""),Rules!$C$2:$C$200),"")&lt;&gt;E155,"⚠ Check sign","OK")))</f>
        <v/>
      </c>
    </row>
    <row r="156" customFormat="false" ht="15" hidden="false" customHeight="false" outlineLevel="0" collapsed="false">
      <c r="A156" s="3"/>
      <c r="B156" s="3"/>
      <c r="C156" s="3"/>
      <c r="D156" s="3" t="str">
        <f aca="false">IF($B156="","",IFERROR(LOOKUP(2^15,SEARCH(Rules!$A$2:$A$200&amp;"",$B156)/(Rules!$A$2:$A$200&lt;&gt;""),Rules!$B$2:$B$200),"Uncategorized"))</f>
        <v/>
      </c>
      <c r="E156" s="3" t="str">
        <f aca="false">IF($B156="","",IF($C156&gt;=0,"Income","Expense"))</f>
        <v/>
      </c>
      <c r="F156" s="3" t="str">
        <f aca="false">IF($B156="","",IFERROR(LOOKUP(2^15,SEARCH(Rules!$A$2:$A$200&amp;"",$B156)/(Rules!$A$2:$A$200&lt;&gt;""),Rules!$A$2:$A$200),""))</f>
        <v/>
      </c>
      <c r="G156" s="3" t="str">
        <f aca="false">IF($B156="","",IF(D156="Uncategorized","⚠ Review",IF(IFERROR(LOOKUP(2^15,SEARCH(Rules!$A$2:$A$200&amp;"",$B156)/(Rules!$A$2:$A$200&lt;&gt;""),Rules!$C$2:$C$200),"")&lt;&gt;E156,"⚠ Check sign","OK")))</f>
        <v/>
      </c>
    </row>
    <row r="157" customFormat="false" ht="15" hidden="false" customHeight="false" outlineLevel="0" collapsed="false">
      <c r="A157" s="3"/>
      <c r="B157" s="3"/>
      <c r="C157" s="3"/>
      <c r="D157" s="3" t="str">
        <f aca="false">IF($B157="","",IFERROR(LOOKUP(2^15,SEARCH(Rules!$A$2:$A$200&amp;"",$B157)/(Rules!$A$2:$A$200&lt;&gt;""),Rules!$B$2:$B$200),"Uncategorized"))</f>
        <v/>
      </c>
      <c r="E157" s="3" t="str">
        <f aca="false">IF($B157="","",IF($C157&gt;=0,"Income","Expense"))</f>
        <v/>
      </c>
      <c r="F157" s="3" t="str">
        <f aca="false">IF($B157="","",IFERROR(LOOKUP(2^15,SEARCH(Rules!$A$2:$A$200&amp;"",$B157)/(Rules!$A$2:$A$200&lt;&gt;""),Rules!$A$2:$A$200),""))</f>
        <v/>
      </c>
      <c r="G157" s="3" t="str">
        <f aca="false">IF($B157="","",IF(D157="Uncategorized","⚠ Review",IF(IFERROR(LOOKUP(2^15,SEARCH(Rules!$A$2:$A$200&amp;"",$B157)/(Rules!$A$2:$A$200&lt;&gt;""),Rules!$C$2:$C$200),"")&lt;&gt;E157,"⚠ Check sign","OK")))</f>
        <v/>
      </c>
    </row>
    <row r="158" customFormat="false" ht="15" hidden="false" customHeight="false" outlineLevel="0" collapsed="false">
      <c r="A158" s="3"/>
      <c r="B158" s="3"/>
      <c r="C158" s="3"/>
      <c r="D158" s="3" t="str">
        <f aca="false">IF($B158="","",IFERROR(LOOKUP(2^15,SEARCH(Rules!$A$2:$A$200&amp;"",$B158)/(Rules!$A$2:$A$200&lt;&gt;""),Rules!$B$2:$B$200),"Uncategorized"))</f>
        <v/>
      </c>
      <c r="E158" s="3" t="str">
        <f aca="false">IF($B158="","",IF($C158&gt;=0,"Income","Expense"))</f>
        <v/>
      </c>
      <c r="F158" s="3" t="str">
        <f aca="false">IF($B158="","",IFERROR(LOOKUP(2^15,SEARCH(Rules!$A$2:$A$200&amp;"",$B158)/(Rules!$A$2:$A$200&lt;&gt;""),Rules!$A$2:$A$200),""))</f>
        <v/>
      </c>
      <c r="G158" s="3" t="str">
        <f aca="false">IF($B158="","",IF(D158="Uncategorized","⚠ Review",IF(IFERROR(LOOKUP(2^15,SEARCH(Rules!$A$2:$A$200&amp;"",$B158)/(Rules!$A$2:$A$200&lt;&gt;""),Rules!$C$2:$C$200),"")&lt;&gt;E158,"⚠ Check sign","OK")))</f>
        <v/>
      </c>
    </row>
    <row r="159" customFormat="false" ht="15" hidden="false" customHeight="false" outlineLevel="0" collapsed="false">
      <c r="A159" s="3"/>
      <c r="B159" s="3"/>
      <c r="C159" s="3"/>
      <c r="D159" s="3" t="str">
        <f aca="false">IF($B159="","",IFERROR(LOOKUP(2^15,SEARCH(Rules!$A$2:$A$200&amp;"",$B159)/(Rules!$A$2:$A$200&lt;&gt;""),Rules!$B$2:$B$200),"Uncategorized"))</f>
        <v/>
      </c>
      <c r="E159" s="3" t="str">
        <f aca="false">IF($B159="","",IF($C159&gt;=0,"Income","Expense"))</f>
        <v/>
      </c>
      <c r="F159" s="3" t="str">
        <f aca="false">IF($B159="","",IFERROR(LOOKUP(2^15,SEARCH(Rules!$A$2:$A$200&amp;"",$B159)/(Rules!$A$2:$A$200&lt;&gt;""),Rules!$A$2:$A$200),""))</f>
        <v/>
      </c>
      <c r="G159" s="3" t="str">
        <f aca="false">IF($B159="","",IF(D159="Uncategorized","⚠ Review",IF(IFERROR(LOOKUP(2^15,SEARCH(Rules!$A$2:$A$200&amp;"",$B159)/(Rules!$A$2:$A$200&lt;&gt;""),Rules!$C$2:$C$200),"")&lt;&gt;E159,"⚠ Check sign","OK")))</f>
        <v/>
      </c>
    </row>
    <row r="160" customFormat="false" ht="15" hidden="false" customHeight="false" outlineLevel="0" collapsed="false">
      <c r="A160" s="3"/>
      <c r="B160" s="3"/>
      <c r="C160" s="3"/>
      <c r="D160" s="3" t="str">
        <f aca="false">IF($B160="","",IFERROR(LOOKUP(2^15,SEARCH(Rules!$A$2:$A$200&amp;"",$B160)/(Rules!$A$2:$A$200&lt;&gt;""),Rules!$B$2:$B$200),"Uncategorized"))</f>
        <v/>
      </c>
      <c r="E160" s="3" t="str">
        <f aca="false">IF($B160="","",IF($C160&gt;=0,"Income","Expense"))</f>
        <v/>
      </c>
      <c r="F160" s="3" t="str">
        <f aca="false">IF($B160="","",IFERROR(LOOKUP(2^15,SEARCH(Rules!$A$2:$A$200&amp;"",$B160)/(Rules!$A$2:$A$200&lt;&gt;""),Rules!$A$2:$A$200),""))</f>
        <v/>
      </c>
      <c r="G160" s="3" t="str">
        <f aca="false">IF($B160="","",IF(D160="Uncategorized","⚠ Review",IF(IFERROR(LOOKUP(2^15,SEARCH(Rules!$A$2:$A$200&amp;"",$B160)/(Rules!$A$2:$A$200&lt;&gt;""),Rules!$C$2:$C$200),"")&lt;&gt;E160,"⚠ Check sign","OK")))</f>
        <v/>
      </c>
    </row>
    <row r="161" customFormat="false" ht="15" hidden="false" customHeight="false" outlineLevel="0" collapsed="false">
      <c r="A161" s="3"/>
      <c r="B161" s="3"/>
      <c r="C161" s="3"/>
      <c r="D161" s="3" t="str">
        <f aca="false">IF($B161="","",IFERROR(LOOKUP(2^15,SEARCH(Rules!$A$2:$A$200&amp;"",$B161)/(Rules!$A$2:$A$200&lt;&gt;""),Rules!$B$2:$B$200),"Uncategorized"))</f>
        <v/>
      </c>
      <c r="E161" s="3" t="str">
        <f aca="false">IF($B161="","",IF($C161&gt;=0,"Income","Expense"))</f>
        <v/>
      </c>
      <c r="F161" s="3" t="str">
        <f aca="false">IF($B161="","",IFERROR(LOOKUP(2^15,SEARCH(Rules!$A$2:$A$200&amp;"",$B161)/(Rules!$A$2:$A$200&lt;&gt;""),Rules!$A$2:$A$200),""))</f>
        <v/>
      </c>
      <c r="G161" s="3" t="str">
        <f aca="false">IF($B161="","",IF(D161="Uncategorized","⚠ Review",IF(IFERROR(LOOKUP(2^15,SEARCH(Rules!$A$2:$A$200&amp;"",$B161)/(Rules!$A$2:$A$200&lt;&gt;""),Rules!$C$2:$C$200),"")&lt;&gt;E161,"⚠ Check sign","OK")))</f>
        <v/>
      </c>
    </row>
    <row r="162" customFormat="false" ht="15" hidden="false" customHeight="false" outlineLevel="0" collapsed="false">
      <c r="A162" s="3"/>
      <c r="B162" s="3"/>
      <c r="C162" s="3"/>
      <c r="D162" s="3" t="str">
        <f aca="false">IF($B162="","",IFERROR(LOOKUP(2^15,SEARCH(Rules!$A$2:$A$200&amp;"",$B162)/(Rules!$A$2:$A$200&lt;&gt;""),Rules!$B$2:$B$200),"Uncategorized"))</f>
        <v/>
      </c>
      <c r="E162" s="3" t="str">
        <f aca="false">IF($B162="","",IF($C162&gt;=0,"Income","Expense"))</f>
        <v/>
      </c>
      <c r="F162" s="3" t="str">
        <f aca="false">IF($B162="","",IFERROR(LOOKUP(2^15,SEARCH(Rules!$A$2:$A$200&amp;"",$B162)/(Rules!$A$2:$A$200&lt;&gt;""),Rules!$A$2:$A$200),""))</f>
        <v/>
      </c>
      <c r="G162" s="3" t="str">
        <f aca="false">IF($B162="","",IF(D162="Uncategorized","⚠ Review",IF(IFERROR(LOOKUP(2^15,SEARCH(Rules!$A$2:$A$200&amp;"",$B162)/(Rules!$A$2:$A$200&lt;&gt;""),Rules!$C$2:$C$200),"")&lt;&gt;E162,"⚠ Check sign","OK")))</f>
        <v/>
      </c>
    </row>
    <row r="163" customFormat="false" ht="15" hidden="false" customHeight="false" outlineLevel="0" collapsed="false">
      <c r="A163" s="3"/>
      <c r="B163" s="3"/>
      <c r="C163" s="3"/>
      <c r="D163" s="3" t="str">
        <f aca="false">IF($B163="","",IFERROR(LOOKUP(2^15,SEARCH(Rules!$A$2:$A$200&amp;"",$B163)/(Rules!$A$2:$A$200&lt;&gt;""),Rules!$B$2:$B$200),"Uncategorized"))</f>
        <v/>
      </c>
      <c r="E163" s="3" t="str">
        <f aca="false">IF($B163="","",IF($C163&gt;=0,"Income","Expense"))</f>
        <v/>
      </c>
      <c r="F163" s="3" t="str">
        <f aca="false">IF($B163="","",IFERROR(LOOKUP(2^15,SEARCH(Rules!$A$2:$A$200&amp;"",$B163)/(Rules!$A$2:$A$200&lt;&gt;""),Rules!$A$2:$A$200),""))</f>
        <v/>
      </c>
      <c r="G163" s="3" t="str">
        <f aca="false">IF($B163="","",IF(D163="Uncategorized","⚠ Review",IF(IFERROR(LOOKUP(2^15,SEARCH(Rules!$A$2:$A$200&amp;"",$B163)/(Rules!$A$2:$A$200&lt;&gt;""),Rules!$C$2:$C$200),"")&lt;&gt;E163,"⚠ Check sign","OK")))</f>
        <v/>
      </c>
    </row>
    <row r="164" customFormat="false" ht="15" hidden="false" customHeight="false" outlineLevel="0" collapsed="false">
      <c r="A164" s="3"/>
      <c r="B164" s="3"/>
      <c r="C164" s="3"/>
      <c r="D164" s="3" t="str">
        <f aca="false">IF($B164="","",IFERROR(LOOKUP(2^15,SEARCH(Rules!$A$2:$A$200&amp;"",$B164)/(Rules!$A$2:$A$200&lt;&gt;""),Rules!$B$2:$B$200),"Uncategorized"))</f>
        <v/>
      </c>
      <c r="E164" s="3" t="str">
        <f aca="false">IF($B164="","",IF($C164&gt;=0,"Income","Expense"))</f>
        <v/>
      </c>
      <c r="F164" s="3" t="str">
        <f aca="false">IF($B164="","",IFERROR(LOOKUP(2^15,SEARCH(Rules!$A$2:$A$200&amp;"",$B164)/(Rules!$A$2:$A$200&lt;&gt;""),Rules!$A$2:$A$200),""))</f>
        <v/>
      </c>
      <c r="G164" s="3" t="str">
        <f aca="false">IF($B164="","",IF(D164="Uncategorized","⚠ Review",IF(IFERROR(LOOKUP(2^15,SEARCH(Rules!$A$2:$A$200&amp;"",$B164)/(Rules!$A$2:$A$200&lt;&gt;""),Rules!$C$2:$C$200),"")&lt;&gt;E164,"⚠ Check sign","OK")))</f>
        <v/>
      </c>
    </row>
    <row r="165" customFormat="false" ht="15" hidden="false" customHeight="false" outlineLevel="0" collapsed="false">
      <c r="A165" s="3"/>
      <c r="B165" s="3"/>
      <c r="C165" s="3"/>
      <c r="D165" s="3" t="str">
        <f aca="false">IF($B165="","",IFERROR(LOOKUP(2^15,SEARCH(Rules!$A$2:$A$200&amp;"",$B165)/(Rules!$A$2:$A$200&lt;&gt;""),Rules!$B$2:$B$200),"Uncategorized"))</f>
        <v/>
      </c>
      <c r="E165" s="3" t="str">
        <f aca="false">IF($B165="","",IF($C165&gt;=0,"Income","Expense"))</f>
        <v/>
      </c>
      <c r="F165" s="3" t="str">
        <f aca="false">IF($B165="","",IFERROR(LOOKUP(2^15,SEARCH(Rules!$A$2:$A$200&amp;"",$B165)/(Rules!$A$2:$A$200&lt;&gt;""),Rules!$A$2:$A$200),""))</f>
        <v/>
      </c>
      <c r="G165" s="3" t="str">
        <f aca="false">IF($B165="","",IF(D165="Uncategorized","⚠ Review",IF(IFERROR(LOOKUP(2^15,SEARCH(Rules!$A$2:$A$200&amp;"",$B165)/(Rules!$A$2:$A$200&lt;&gt;""),Rules!$C$2:$C$200),"")&lt;&gt;E165,"⚠ Check sign","OK")))</f>
        <v/>
      </c>
    </row>
    <row r="166" customFormat="false" ht="15" hidden="false" customHeight="false" outlineLevel="0" collapsed="false">
      <c r="A166" s="3"/>
      <c r="B166" s="3"/>
      <c r="C166" s="3"/>
      <c r="D166" s="3" t="str">
        <f aca="false">IF($B166="","",IFERROR(LOOKUP(2^15,SEARCH(Rules!$A$2:$A$200&amp;"",$B166)/(Rules!$A$2:$A$200&lt;&gt;""),Rules!$B$2:$B$200),"Uncategorized"))</f>
        <v/>
      </c>
      <c r="E166" s="3" t="str">
        <f aca="false">IF($B166="","",IF($C166&gt;=0,"Income","Expense"))</f>
        <v/>
      </c>
      <c r="F166" s="3" t="str">
        <f aca="false">IF($B166="","",IFERROR(LOOKUP(2^15,SEARCH(Rules!$A$2:$A$200&amp;"",$B166)/(Rules!$A$2:$A$200&lt;&gt;""),Rules!$A$2:$A$200),""))</f>
        <v/>
      </c>
      <c r="G166" s="3" t="str">
        <f aca="false">IF($B166="","",IF(D166="Uncategorized","⚠ Review",IF(IFERROR(LOOKUP(2^15,SEARCH(Rules!$A$2:$A$200&amp;"",$B166)/(Rules!$A$2:$A$200&lt;&gt;""),Rules!$C$2:$C$200),"")&lt;&gt;E166,"⚠ Check sign","OK")))</f>
        <v/>
      </c>
    </row>
    <row r="167" customFormat="false" ht="15" hidden="false" customHeight="false" outlineLevel="0" collapsed="false">
      <c r="A167" s="3"/>
      <c r="B167" s="3"/>
      <c r="C167" s="3"/>
      <c r="D167" s="3" t="str">
        <f aca="false">IF($B167="","",IFERROR(LOOKUP(2^15,SEARCH(Rules!$A$2:$A$200&amp;"",$B167)/(Rules!$A$2:$A$200&lt;&gt;""),Rules!$B$2:$B$200),"Uncategorized"))</f>
        <v/>
      </c>
      <c r="E167" s="3" t="str">
        <f aca="false">IF($B167="","",IF($C167&gt;=0,"Income","Expense"))</f>
        <v/>
      </c>
      <c r="F167" s="3" t="str">
        <f aca="false">IF($B167="","",IFERROR(LOOKUP(2^15,SEARCH(Rules!$A$2:$A$200&amp;"",$B167)/(Rules!$A$2:$A$200&lt;&gt;""),Rules!$A$2:$A$200),""))</f>
        <v/>
      </c>
      <c r="G167" s="3" t="str">
        <f aca="false">IF($B167="","",IF(D167="Uncategorized","⚠ Review",IF(IFERROR(LOOKUP(2^15,SEARCH(Rules!$A$2:$A$200&amp;"",$B167)/(Rules!$A$2:$A$200&lt;&gt;""),Rules!$C$2:$C$200),"")&lt;&gt;E167,"⚠ Check sign","OK")))</f>
        <v/>
      </c>
    </row>
    <row r="168" customFormat="false" ht="15" hidden="false" customHeight="false" outlineLevel="0" collapsed="false">
      <c r="A168" s="3"/>
      <c r="B168" s="3"/>
      <c r="C168" s="3"/>
      <c r="D168" s="3" t="str">
        <f aca="false">IF($B168="","",IFERROR(LOOKUP(2^15,SEARCH(Rules!$A$2:$A$200&amp;"",$B168)/(Rules!$A$2:$A$200&lt;&gt;""),Rules!$B$2:$B$200),"Uncategorized"))</f>
        <v/>
      </c>
      <c r="E168" s="3" t="str">
        <f aca="false">IF($B168="","",IF($C168&gt;=0,"Income","Expense"))</f>
        <v/>
      </c>
      <c r="F168" s="3" t="str">
        <f aca="false">IF($B168="","",IFERROR(LOOKUP(2^15,SEARCH(Rules!$A$2:$A$200&amp;"",$B168)/(Rules!$A$2:$A$200&lt;&gt;""),Rules!$A$2:$A$200),""))</f>
        <v/>
      </c>
      <c r="G168" s="3" t="str">
        <f aca="false">IF($B168="","",IF(D168="Uncategorized","⚠ Review",IF(IFERROR(LOOKUP(2^15,SEARCH(Rules!$A$2:$A$200&amp;"",$B168)/(Rules!$A$2:$A$200&lt;&gt;""),Rules!$C$2:$C$200),"")&lt;&gt;E168,"⚠ Check sign","OK")))</f>
        <v/>
      </c>
    </row>
    <row r="169" customFormat="false" ht="15" hidden="false" customHeight="false" outlineLevel="0" collapsed="false">
      <c r="A169" s="3"/>
      <c r="B169" s="3"/>
      <c r="C169" s="3"/>
      <c r="D169" s="3" t="str">
        <f aca="false">IF($B169="","",IFERROR(LOOKUP(2^15,SEARCH(Rules!$A$2:$A$200&amp;"",$B169)/(Rules!$A$2:$A$200&lt;&gt;""),Rules!$B$2:$B$200),"Uncategorized"))</f>
        <v/>
      </c>
      <c r="E169" s="3" t="str">
        <f aca="false">IF($B169="","",IF($C169&gt;=0,"Income","Expense"))</f>
        <v/>
      </c>
      <c r="F169" s="3" t="str">
        <f aca="false">IF($B169="","",IFERROR(LOOKUP(2^15,SEARCH(Rules!$A$2:$A$200&amp;"",$B169)/(Rules!$A$2:$A$200&lt;&gt;""),Rules!$A$2:$A$200),""))</f>
        <v/>
      </c>
      <c r="G169" s="3" t="str">
        <f aca="false">IF($B169="","",IF(D169="Uncategorized","⚠ Review",IF(IFERROR(LOOKUP(2^15,SEARCH(Rules!$A$2:$A$200&amp;"",$B169)/(Rules!$A$2:$A$200&lt;&gt;""),Rules!$C$2:$C$200),"")&lt;&gt;E169,"⚠ Check sign","OK")))</f>
        <v/>
      </c>
    </row>
    <row r="170" customFormat="false" ht="15" hidden="false" customHeight="false" outlineLevel="0" collapsed="false">
      <c r="A170" s="3"/>
      <c r="B170" s="3"/>
      <c r="C170" s="3"/>
      <c r="D170" s="3" t="str">
        <f aca="false">IF($B170="","",IFERROR(LOOKUP(2^15,SEARCH(Rules!$A$2:$A$200&amp;"",$B170)/(Rules!$A$2:$A$200&lt;&gt;""),Rules!$B$2:$B$200),"Uncategorized"))</f>
        <v/>
      </c>
      <c r="E170" s="3" t="str">
        <f aca="false">IF($B170="","",IF($C170&gt;=0,"Income","Expense"))</f>
        <v/>
      </c>
      <c r="F170" s="3" t="str">
        <f aca="false">IF($B170="","",IFERROR(LOOKUP(2^15,SEARCH(Rules!$A$2:$A$200&amp;"",$B170)/(Rules!$A$2:$A$200&lt;&gt;""),Rules!$A$2:$A$200),""))</f>
        <v/>
      </c>
      <c r="G170" s="3" t="str">
        <f aca="false">IF($B170="","",IF(D170="Uncategorized","⚠ Review",IF(IFERROR(LOOKUP(2^15,SEARCH(Rules!$A$2:$A$200&amp;"",$B170)/(Rules!$A$2:$A$200&lt;&gt;""),Rules!$C$2:$C$200),"")&lt;&gt;E170,"⚠ Check sign","OK")))</f>
        <v/>
      </c>
    </row>
    <row r="171" customFormat="false" ht="15" hidden="false" customHeight="false" outlineLevel="0" collapsed="false">
      <c r="A171" s="3"/>
      <c r="B171" s="3"/>
      <c r="C171" s="3"/>
      <c r="D171" s="3" t="str">
        <f aca="false">IF($B171="","",IFERROR(LOOKUP(2^15,SEARCH(Rules!$A$2:$A$200&amp;"",$B171)/(Rules!$A$2:$A$200&lt;&gt;""),Rules!$B$2:$B$200),"Uncategorized"))</f>
        <v/>
      </c>
      <c r="E171" s="3" t="str">
        <f aca="false">IF($B171="","",IF($C171&gt;=0,"Income","Expense"))</f>
        <v/>
      </c>
      <c r="F171" s="3" t="str">
        <f aca="false">IF($B171="","",IFERROR(LOOKUP(2^15,SEARCH(Rules!$A$2:$A$200&amp;"",$B171)/(Rules!$A$2:$A$200&lt;&gt;""),Rules!$A$2:$A$200),""))</f>
        <v/>
      </c>
      <c r="G171" s="3" t="str">
        <f aca="false">IF($B171="","",IF(D171="Uncategorized","⚠ Review",IF(IFERROR(LOOKUP(2^15,SEARCH(Rules!$A$2:$A$200&amp;"",$B171)/(Rules!$A$2:$A$200&lt;&gt;""),Rules!$C$2:$C$200),"")&lt;&gt;E171,"⚠ Check sign","OK")))</f>
        <v/>
      </c>
    </row>
    <row r="172" customFormat="false" ht="15" hidden="false" customHeight="false" outlineLevel="0" collapsed="false">
      <c r="A172" s="3"/>
      <c r="B172" s="3"/>
      <c r="C172" s="3"/>
      <c r="D172" s="3" t="str">
        <f aca="false">IF($B172="","",IFERROR(LOOKUP(2^15,SEARCH(Rules!$A$2:$A$200&amp;"",$B172)/(Rules!$A$2:$A$200&lt;&gt;""),Rules!$B$2:$B$200),"Uncategorized"))</f>
        <v/>
      </c>
      <c r="E172" s="3" t="str">
        <f aca="false">IF($B172="","",IF($C172&gt;=0,"Income","Expense"))</f>
        <v/>
      </c>
      <c r="F172" s="3" t="str">
        <f aca="false">IF($B172="","",IFERROR(LOOKUP(2^15,SEARCH(Rules!$A$2:$A$200&amp;"",$B172)/(Rules!$A$2:$A$200&lt;&gt;""),Rules!$A$2:$A$200),""))</f>
        <v/>
      </c>
      <c r="G172" s="3" t="str">
        <f aca="false">IF($B172="","",IF(D172="Uncategorized","⚠ Review",IF(IFERROR(LOOKUP(2^15,SEARCH(Rules!$A$2:$A$200&amp;"",$B172)/(Rules!$A$2:$A$200&lt;&gt;""),Rules!$C$2:$C$200),"")&lt;&gt;E172,"⚠ Check sign","OK")))</f>
        <v/>
      </c>
    </row>
    <row r="173" customFormat="false" ht="15" hidden="false" customHeight="false" outlineLevel="0" collapsed="false">
      <c r="A173" s="3"/>
      <c r="B173" s="3"/>
      <c r="C173" s="3"/>
      <c r="D173" s="3" t="str">
        <f aca="false">IF($B173="","",IFERROR(LOOKUP(2^15,SEARCH(Rules!$A$2:$A$200&amp;"",$B173)/(Rules!$A$2:$A$200&lt;&gt;""),Rules!$B$2:$B$200),"Uncategorized"))</f>
        <v/>
      </c>
      <c r="E173" s="3" t="str">
        <f aca="false">IF($B173="","",IF($C173&gt;=0,"Income","Expense"))</f>
        <v/>
      </c>
      <c r="F173" s="3" t="str">
        <f aca="false">IF($B173="","",IFERROR(LOOKUP(2^15,SEARCH(Rules!$A$2:$A$200&amp;"",$B173)/(Rules!$A$2:$A$200&lt;&gt;""),Rules!$A$2:$A$200),""))</f>
        <v/>
      </c>
      <c r="G173" s="3" t="str">
        <f aca="false">IF($B173="","",IF(D173="Uncategorized","⚠ Review",IF(IFERROR(LOOKUP(2^15,SEARCH(Rules!$A$2:$A$200&amp;"",$B173)/(Rules!$A$2:$A$200&lt;&gt;""),Rules!$C$2:$C$200),"")&lt;&gt;E173,"⚠ Check sign","OK")))</f>
        <v/>
      </c>
    </row>
    <row r="174" customFormat="false" ht="15" hidden="false" customHeight="false" outlineLevel="0" collapsed="false">
      <c r="A174" s="3"/>
      <c r="B174" s="3"/>
      <c r="C174" s="3"/>
      <c r="D174" s="3" t="str">
        <f aca="false">IF($B174="","",IFERROR(LOOKUP(2^15,SEARCH(Rules!$A$2:$A$200&amp;"",$B174)/(Rules!$A$2:$A$200&lt;&gt;""),Rules!$B$2:$B$200),"Uncategorized"))</f>
        <v/>
      </c>
      <c r="E174" s="3" t="str">
        <f aca="false">IF($B174="","",IF($C174&gt;=0,"Income","Expense"))</f>
        <v/>
      </c>
      <c r="F174" s="3" t="str">
        <f aca="false">IF($B174="","",IFERROR(LOOKUP(2^15,SEARCH(Rules!$A$2:$A$200&amp;"",$B174)/(Rules!$A$2:$A$200&lt;&gt;""),Rules!$A$2:$A$200),""))</f>
        <v/>
      </c>
      <c r="G174" s="3" t="str">
        <f aca="false">IF($B174="","",IF(D174="Uncategorized","⚠ Review",IF(IFERROR(LOOKUP(2^15,SEARCH(Rules!$A$2:$A$200&amp;"",$B174)/(Rules!$A$2:$A$200&lt;&gt;""),Rules!$C$2:$C$200),"")&lt;&gt;E174,"⚠ Check sign","OK")))</f>
        <v/>
      </c>
    </row>
    <row r="175" customFormat="false" ht="15" hidden="false" customHeight="false" outlineLevel="0" collapsed="false">
      <c r="A175" s="3"/>
      <c r="B175" s="3"/>
      <c r="C175" s="3"/>
      <c r="D175" s="3" t="str">
        <f aca="false">IF($B175="","",IFERROR(LOOKUP(2^15,SEARCH(Rules!$A$2:$A$200&amp;"",$B175)/(Rules!$A$2:$A$200&lt;&gt;""),Rules!$B$2:$B$200),"Uncategorized"))</f>
        <v/>
      </c>
      <c r="E175" s="3" t="str">
        <f aca="false">IF($B175="","",IF($C175&gt;=0,"Income","Expense"))</f>
        <v/>
      </c>
      <c r="F175" s="3" t="str">
        <f aca="false">IF($B175="","",IFERROR(LOOKUP(2^15,SEARCH(Rules!$A$2:$A$200&amp;"",$B175)/(Rules!$A$2:$A$200&lt;&gt;""),Rules!$A$2:$A$200),""))</f>
        <v/>
      </c>
      <c r="G175" s="3" t="str">
        <f aca="false">IF($B175="","",IF(D175="Uncategorized","⚠ Review",IF(IFERROR(LOOKUP(2^15,SEARCH(Rules!$A$2:$A$200&amp;"",$B175)/(Rules!$A$2:$A$200&lt;&gt;""),Rules!$C$2:$C$200),"")&lt;&gt;E175,"⚠ Check sign","OK")))</f>
        <v/>
      </c>
    </row>
    <row r="176" customFormat="false" ht="15" hidden="false" customHeight="false" outlineLevel="0" collapsed="false">
      <c r="A176" s="3"/>
      <c r="B176" s="3"/>
      <c r="C176" s="3"/>
      <c r="D176" s="3" t="str">
        <f aca="false">IF($B176="","",IFERROR(LOOKUP(2^15,SEARCH(Rules!$A$2:$A$200&amp;"",$B176)/(Rules!$A$2:$A$200&lt;&gt;""),Rules!$B$2:$B$200),"Uncategorized"))</f>
        <v/>
      </c>
      <c r="E176" s="3" t="str">
        <f aca="false">IF($B176="","",IF($C176&gt;=0,"Income","Expense"))</f>
        <v/>
      </c>
      <c r="F176" s="3" t="str">
        <f aca="false">IF($B176="","",IFERROR(LOOKUP(2^15,SEARCH(Rules!$A$2:$A$200&amp;"",$B176)/(Rules!$A$2:$A$200&lt;&gt;""),Rules!$A$2:$A$200),""))</f>
        <v/>
      </c>
      <c r="G176" s="3" t="str">
        <f aca="false">IF($B176="","",IF(D176="Uncategorized","⚠ Review",IF(IFERROR(LOOKUP(2^15,SEARCH(Rules!$A$2:$A$200&amp;"",$B176)/(Rules!$A$2:$A$200&lt;&gt;""),Rules!$C$2:$C$200),"")&lt;&gt;E176,"⚠ Check sign","OK")))</f>
        <v/>
      </c>
    </row>
    <row r="177" customFormat="false" ht="15" hidden="false" customHeight="false" outlineLevel="0" collapsed="false">
      <c r="A177" s="3"/>
      <c r="B177" s="3"/>
      <c r="C177" s="3"/>
      <c r="D177" s="3" t="str">
        <f aca="false">IF($B177="","",IFERROR(LOOKUP(2^15,SEARCH(Rules!$A$2:$A$200&amp;"",$B177)/(Rules!$A$2:$A$200&lt;&gt;""),Rules!$B$2:$B$200),"Uncategorized"))</f>
        <v/>
      </c>
      <c r="E177" s="3" t="str">
        <f aca="false">IF($B177="","",IF($C177&gt;=0,"Income","Expense"))</f>
        <v/>
      </c>
      <c r="F177" s="3" t="str">
        <f aca="false">IF($B177="","",IFERROR(LOOKUP(2^15,SEARCH(Rules!$A$2:$A$200&amp;"",$B177)/(Rules!$A$2:$A$200&lt;&gt;""),Rules!$A$2:$A$200),""))</f>
        <v/>
      </c>
      <c r="G177" s="3" t="str">
        <f aca="false">IF($B177="","",IF(D177="Uncategorized","⚠ Review",IF(IFERROR(LOOKUP(2^15,SEARCH(Rules!$A$2:$A$200&amp;"",$B177)/(Rules!$A$2:$A$200&lt;&gt;""),Rules!$C$2:$C$200),"")&lt;&gt;E177,"⚠ Check sign","OK")))</f>
        <v/>
      </c>
    </row>
    <row r="178" customFormat="false" ht="15" hidden="false" customHeight="false" outlineLevel="0" collapsed="false">
      <c r="A178" s="3"/>
      <c r="B178" s="3"/>
      <c r="C178" s="3"/>
      <c r="D178" s="3" t="str">
        <f aca="false">IF($B178="","",IFERROR(LOOKUP(2^15,SEARCH(Rules!$A$2:$A$200&amp;"",$B178)/(Rules!$A$2:$A$200&lt;&gt;""),Rules!$B$2:$B$200),"Uncategorized"))</f>
        <v/>
      </c>
      <c r="E178" s="3" t="str">
        <f aca="false">IF($B178="","",IF($C178&gt;=0,"Income","Expense"))</f>
        <v/>
      </c>
      <c r="F178" s="3" t="str">
        <f aca="false">IF($B178="","",IFERROR(LOOKUP(2^15,SEARCH(Rules!$A$2:$A$200&amp;"",$B178)/(Rules!$A$2:$A$200&lt;&gt;""),Rules!$A$2:$A$200),""))</f>
        <v/>
      </c>
      <c r="G178" s="3" t="str">
        <f aca="false">IF($B178="","",IF(D178="Uncategorized","⚠ Review",IF(IFERROR(LOOKUP(2^15,SEARCH(Rules!$A$2:$A$200&amp;"",$B178)/(Rules!$A$2:$A$200&lt;&gt;""),Rules!$C$2:$C$200),"")&lt;&gt;E178,"⚠ Check sign","OK")))</f>
        <v/>
      </c>
    </row>
    <row r="179" customFormat="false" ht="15" hidden="false" customHeight="false" outlineLevel="0" collapsed="false">
      <c r="A179" s="3"/>
      <c r="B179" s="3"/>
      <c r="C179" s="3"/>
      <c r="D179" s="3" t="str">
        <f aca="false">IF($B179="","",IFERROR(LOOKUP(2^15,SEARCH(Rules!$A$2:$A$200&amp;"",$B179)/(Rules!$A$2:$A$200&lt;&gt;""),Rules!$B$2:$B$200),"Uncategorized"))</f>
        <v/>
      </c>
      <c r="E179" s="3" t="str">
        <f aca="false">IF($B179="","",IF($C179&gt;=0,"Income","Expense"))</f>
        <v/>
      </c>
      <c r="F179" s="3" t="str">
        <f aca="false">IF($B179="","",IFERROR(LOOKUP(2^15,SEARCH(Rules!$A$2:$A$200&amp;"",$B179)/(Rules!$A$2:$A$200&lt;&gt;""),Rules!$A$2:$A$200),""))</f>
        <v/>
      </c>
      <c r="G179" s="3" t="str">
        <f aca="false">IF($B179="","",IF(D179="Uncategorized","⚠ Review",IF(IFERROR(LOOKUP(2^15,SEARCH(Rules!$A$2:$A$200&amp;"",$B179)/(Rules!$A$2:$A$200&lt;&gt;""),Rules!$C$2:$C$200),"")&lt;&gt;E179,"⚠ Check sign","OK")))</f>
        <v/>
      </c>
    </row>
    <row r="180" customFormat="false" ht="15" hidden="false" customHeight="false" outlineLevel="0" collapsed="false">
      <c r="A180" s="3"/>
      <c r="B180" s="3"/>
      <c r="C180" s="3"/>
      <c r="D180" s="3" t="str">
        <f aca="false">IF($B180="","",IFERROR(LOOKUP(2^15,SEARCH(Rules!$A$2:$A$200&amp;"",$B180)/(Rules!$A$2:$A$200&lt;&gt;""),Rules!$B$2:$B$200),"Uncategorized"))</f>
        <v/>
      </c>
      <c r="E180" s="3" t="str">
        <f aca="false">IF($B180="","",IF($C180&gt;=0,"Income","Expense"))</f>
        <v/>
      </c>
      <c r="F180" s="3" t="str">
        <f aca="false">IF($B180="","",IFERROR(LOOKUP(2^15,SEARCH(Rules!$A$2:$A$200&amp;"",$B180)/(Rules!$A$2:$A$200&lt;&gt;""),Rules!$A$2:$A$200),""))</f>
        <v/>
      </c>
      <c r="G180" s="3" t="str">
        <f aca="false">IF($B180="","",IF(D180="Uncategorized","⚠ Review",IF(IFERROR(LOOKUP(2^15,SEARCH(Rules!$A$2:$A$200&amp;"",$B180)/(Rules!$A$2:$A$200&lt;&gt;""),Rules!$C$2:$C$200),"")&lt;&gt;E180,"⚠ Check sign","OK")))</f>
        <v/>
      </c>
    </row>
    <row r="181" customFormat="false" ht="15" hidden="false" customHeight="false" outlineLevel="0" collapsed="false">
      <c r="A181" s="3"/>
      <c r="B181" s="3"/>
      <c r="C181" s="3"/>
      <c r="D181" s="3" t="str">
        <f aca="false">IF($B181="","",IFERROR(LOOKUP(2^15,SEARCH(Rules!$A$2:$A$200&amp;"",$B181)/(Rules!$A$2:$A$200&lt;&gt;""),Rules!$B$2:$B$200),"Uncategorized"))</f>
        <v/>
      </c>
      <c r="E181" s="3" t="str">
        <f aca="false">IF($B181="","",IF($C181&gt;=0,"Income","Expense"))</f>
        <v/>
      </c>
      <c r="F181" s="3" t="str">
        <f aca="false">IF($B181="","",IFERROR(LOOKUP(2^15,SEARCH(Rules!$A$2:$A$200&amp;"",$B181)/(Rules!$A$2:$A$200&lt;&gt;""),Rules!$A$2:$A$200),""))</f>
        <v/>
      </c>
      <c r="G181" s="3" t="str">
        <f aca="false">IF($B181="","",IF(D181="Uncategorized","⚠ Review",IF(IFERROR(LOOKUP(2^15,SEARCH(Rules!$A$2:$A$200&amp;"",$B181)/(Rules!$A$2:$A$200&lt;&gt;""),Rules!$C$2:$C$200),"")&lt;&gt;E181,"⚠ Check sign","OK")))</f>
        <v/>
      </c>
    </row>
    <row r="182" customFormat="false" ht="15" hidden="false" customHeight="false" outlineLevel="0" collapsed="false">
      <c r="A182" s="3"/>
      <c r="B182" s="3"/>
      <c r="C182" s="3"/>
      <c r="D182" s="3" t="str">
        <f aca="false">IF($B182="","",IFERROR(LOOKUP(2^15,SEARCH(Rules!$A$2:$A$200&amp;"",$B182)/(Rules!$A$2:$A$200&lt;&gt;""),Rules!$B$2:$B$200),"Uncategorized"))</f>
        <v/>
      </c>
      <c r="E182" s="3" t="str">
        <f aca="false">IF($B182="","",IF($C182&gt;=0,"Income","Expense"))</f>
        <v/>
      </c>
      <c r="F182" s="3" t="str">
        <f aca="false">IF($B182="","",IFERROR(LOOKUP(2^15,SEARCH(Rules!$A$2:$A$200&amp;"",$B182)/(Rules!$A$2:$A$200&lt;&gt;""),Rules!$A$2:$A$200),""))</f>
        <v/>
      </c>
      <c r="G182" s="3" t="str">
        <f aca="false">IF($B182="","",IF(D182="Uncategorized","⚠ Review",IF(IFERROR(LOOKUP(2^15,SEARCH(Rules!$A$2:$A$200&amp;"",$B182)/(Rules!$A$2:$A$200&lt;&gt;""),Rules!$C$2:$C$200),"")&lt;&gt;E182,"⚠ Check sign","OK")))</f>
        <v/>
      </c>
    </row>
    <row r="183" customFormat="false" ht="15" hidden="false" customHeight="false" outlineLevel="0" collapsed="false">
      <c r="A183" s="3"/>
      <c r="B183" s="3"/>
      <c r="C183" s="3"/>
      <c r="D183" s="3" t="str">
        <f aca="false">IF($B183="","",IFERROR(LOOKUP(2^15,SEARCH(Rules!$A$2:$A$200&amp;"",$B183)/(Rules!$A$2:$A$200&lt;&gt;""),Rules!$B$2:$B$200),"Uncategorized"))</f>
        <v/>
      </c>
      <c r="E183" s="3" t="str">
        <f aca="false">IF($B183="","",IF($C183&gt;=0,"Income","Expense"))</f>
        <v/>
      </c>
      <c r="F183" s="3" t="str">
        <f aca="false">IF($B183="","",IFERROR(LOOKUP(2^15,SEARCH(Rules!$A$2:$A$200&amp;"",$B183)/(Rules!$A$2:$A$200&lt;&gt;""),Rules!$A$2:$A$200),""))</f>
        <v/>
      </c>
      <c r="G183" s="3" t="str">
        <f aca="false">IF($B183="","",IF(D183="Uncategorized","⚠ Review",IF(IFERROR(LOOKUP(2^15,SEARCH(Rules!$A$2:$A$200&amp;"",$B183)/(Rules!$A$2:$A$200&lt;&gt;""),Rules!$C$2:$C$200),"")&lt;&gt;E183,"⚠ Check sign","OK")))</f>
        <v/>
      </c>
    </row>
    <row r="184" customFormat="false" ht="15" hidden="false" customHeight="false" outlineLevel="0" collapsed="false">
      <c r="A184" s="3"/>
      <c r="B184" s="3"/>
      <c r="C184" s="3"/>
      <c r="D184" s="3" t="str">
        <f aca="false">IF($B184="","",IFERROR(LOOKUP(2^15,SEARCH(Rules!$A$2:$A$200&amp;"",$B184)/(Rules!$A$2:$A$200&lt;&gt;""),Rules!$B$2:$B$200),"Uncategorized"))</f>
        <v/>
      </c>
      <c r="E184" s="3" t="str">
        <f aca="false">IF($B184="","",IF($C184&gt;=0,"Income","Expense"))</f>
        <v/>
      </c>
      <c r="F184" s="3" t="str">
        <f aca="false">IF($B184="","",IFERROR(LOOKUP(2^15,SEARCH(Rules!$A$2:$A$200&amp;"",$B184)/(Rules!$A$2:$A$200&lt;&gt;""),Rules!$A$2:$A$200),""))</f>
        <v/>
      </c>
      <c r="G184" s="3" t="str">
        <f aca="false">IF($B184="","",IF(D184="Uncategorized","⚠ Review",IF(IFERROR(LOOKUP(2^15,SEARCH(Rules!$A$2:$A$200&amp;"",$B184)/(Rules!$A$2:$A$200&lt;&gt;""),Rules!$C$2:$C$200),"")&lt;&gt;E184,"⚠ Check sign","OK")))</f>
        <v/>
      </c>
    </row>
    <row r="185" customFormat="false" ht="15" hidden="false" customHeight="false" outlineLevel="0" collapsed="false">
      <c r="A185" s="3"/>
      <c r="B185" s="3"/>
      <c r="C185" s="3"/>
      <c r="D185" s="3" t="str">
        <f aca="false">IF($B185="","",IFERROR(LOOKUP(2^15,SEARCH(Rules!$A$2:$A$200&amp;"",$B185)/(Rules!$A$2:$A$200&lt;&gt;""),Rules!$B$2:$B$200),"Uncategorized"))</f>
        <v/>
      </c>
      <c r="E185" s="3" t="str">
        <f aca="false">IF($B185="","",IF($C185&gt;=0,"Income","Expense"))</f>
        <v/>
      </c>
      <c r="F185" s="3" t="str">
        <f aca="false">IF($B185="","",IFERROR(LOOKUP(2^15,SEARCH(Rules!$A$2:$A$200&amp;"",$B185)/(Rules!$A$2:$A$200&lt;&gt;""),Rules!$A$2:$A$200),""))</f>
        <v/>
      </c>
      <c r="G185" s="3" t="str">
        <f aca="false">IF($B185="","",IF(D185="Uncategorized","⚠ Review",IF(IFERROR(LOOKUP(2^15,SEARCH(Rules!$A$2:$A$200&amp;"",$B185)/(Rules!$A$2:$A$200&lt;&gt;""),Rules!$C$2:$C$200),"")&lt;&gt;E185,"⚠ Check sign","OK")))</f>
        <v/>
      </c>
    </row>
    <row r="186" customFormat="false" ht="15" hidden="false" customHeight="false" outlineLevel="0" collapsed="false">
      <c r="A186" s="3"/>
      <c r="B186" s="3"/>
      <c r="C186" s="3"/>
      <c r="D186" s="3" t="str">
        <f aca="false">IF($B186="","",IFERROR(LOOKUP(2^15,SEARCH(Rules!$A$2:$A$200&amp;"",$B186)/(Rules!$A$2:$A$200&lt;&gt;""),Rules!$B$2:$B$200),"Uncategorized"))</f>
        <v/>
      </c>
      <c r="E186" s="3" t="str">
        <f aca="false">IF($B186="","",IF($C186&gt;=0,"Income","Expense"))</f>
        <v/>
      </c>
      <c r="F186" s="3" t="str">
        <f aca="false">IF($B186="","",IFERROR(LOOKUP(2^15,SEARCH(Rules!$A$2:$A$200&amp;"",$B186)/(Rules!$A$2:$A$200&lt;&gt;""),Rules!$A$2:$A$200),""))</f>
        <v/>
      </c>
      <c r="G186" s="3" t="str">
        <f aca="false">IF($B186="","",IF(D186="Uncategorized","⚠ Review",IF(IFERROR(LOOKUP(2^15,SEARCH(Rules!$A$2:$A$200&amp;"",$B186)/(Rules!$A$2:$A$200&lt;&gt;""),Rules!$C$2:$C$200),"")&lt;&gt;E186,"⚠ Check sign","OK")))</f>
        <v/>
      </c>
    </row>
    <row r="187" customFormat="false" ht="15" hidden="false" customHeight="false" outlineLevel="0" collapsed="false">
      <c r="A187" s="3"/>
      <c r="B187" s="3"/>
      <c r="C187" s="3"/>
      <c r="D187" s="3" t="str">
        <f aca="false">IF($B187="","",IFERROR(LOOKUP(2^15,SEARCH(Rules!$A$2:$A$200&amp;"",$B187)/(Rules!$A$2:$A$200&lt;&gt;""),Rules!$B$2:$B$200),"Uncategorized"))</f>
        <v/>
      </c>
      <c r="E187" s="3" t="str">
        <f aca="false">IF($B187="","",IF($C187&gt;=0,"Income","Expense"))</f>
        <v/>
      </c>
      <c r="F187" s="3" t="str">
        <f aca="false">IF($B187="","",IFERROR(LOOKUP(2^15,SEARCH(Rules!$A$2:$A$200&amp;"",$B187)/(Rules!$A$2:$A$200&lt;&gt;""),Rules!$A$2:$A$200),""))</f>
        <v/>
      </c>
      <c r="G187" s="3" t="str">
        <f aca="false">IF($B187="","",IF(D187="Uncategorized","⚠ Review",IF(IFERROR(LOOKUP(2^15,SEARCH(Rules!$A$2:$A$200&amp;"",$B187)/(Rules!$A$2:$A$200&lt;&gt;""),Rules!$C$2:$C$200),"")&lt;&gt;E187,"⚠ Check sign","OK")))</f>
        <v/>
      </c>
    </row>
    <row r="188" customFormat="false" ht="15" hidden="false" customHeight="false" outlineLevel="0" collapsed="false">
      <c r="A188" s="3"/>
      <c r="B188" s="3"/>
      <c r="C188" s="3"/>
      <c r="D188" s="3" t="str">
        <f aca="false">IF($B188="","",IFERROR(LOOKUP(2^15,SEARCH(Rules!$A$2:$A$200&amp;"",$B188)/(Rules!$A$2:$A$200&lt;&gt;""),Rules!$B$2:$B$200),"Uncategorized"))</f>
        <v/>
      </c>
      <c r="E188" s="3" t="str">
        <f aca="false">IF($B188="","",IF($C188&gt;=0,"Income","Expense"))</f>
        <v/>
      </c>
      <c r="F188" s="3" t="str">
        <f aca="false">IF($B188="","",IFERROR(LOOKUP(2^15,SEARCH(Rules!$A$2:$A$200&amp;"",$B188)/(Rules!$A$2:$A$200&lt;&gt;""),Rules!$A$2:$A$200),""))</f>
        <v/>
      </c>
      <c r="G188" s="3" t="str">
        <f aca="false">IF($B188="","",IF(D188="Uncategorized","⚠ Review",IF(IFERROR(LOOKUP(2^15,SEARCH(Rules!$A$2:$A$200&amp;"",$B188)/(Rules!$A$2:$A$200&lt;&gt;""),Rules!$C$2:$C$200),"")&lt;&gt;E188,"⚠ Check sign","OK")))</f>
        <v/>
      </c>
    </row>
    <row r="189" customFormat="false" ht="15" hidden="false" customHeight="false" outlineLevel="0" collapsed="false">
      <c r="A189" s="3"/>
      <c r="B189" s="3"/>
      <c r="C189" s="3"/>
      <c r="D189" s="3" t="str">
        <f aca="false">IF($B189="","",IFERROR(LOOKUP(2^15,SEARCH(Rules!$A$2:$A$200&amp;"",$B189)/(Rules!$A$2:$A$200&lt;&gt;""),Rules!$B$2:$B$200),"Uncategorized"))</f>
        <v/>
      </c>
      <c r="E189" s="3" t="str">
        <f aca="false">IF($B189="","",IF($C189&gt;=0,"Income","Expense"))</f>
        <v/>
      </c>
      <c r="F189" s="3" t="str">
        <f aca="false">IF($B189="","",IFERROR(LOOKUP(2^15,SEARCH(Rules!$A$2:$A$200&amp;"",$B189)/(Rules!$A$2:$A$200&lt;&gt;""),Rules!$A$2:$A$200),""))</f>
        <v/>
      </c>
      <c r="G189" s="3" t="str">
        <f aca="false">IF($B189="","",IF(D189="Uncategorized","⚠ Review",IF(IFERROR(LOOKUP(2^15,SEARCH(Rules!$A$2:$A$200&amp;"",$B189)/(Rules!$A$2:$A$200&lt;&gt;""),Rules!$C$2:$C$200),"")&lt;&gt;E189,"⚠ Check sign","OK")))</f>
        <v/>
      </c>
    </row>
    <row r="190" customFormat="false" ht="15" hidden="false" customHeight="false" outlineLevel="0" collapsed="false">
      <c r="A190" s="3"/>
      <c r="B190" s="3"/>
      <c r="C190" s="3"/>
      <c r="D190" s="3" t="str">
        <f aca="false">IF($B190="","",IFERROR(LOOKUP(2^15,SEARCH(Rules!$A$2:$A$200&amp;"",$B190)/(Rules!$A$2:$A$200&lt;&gt;""),Rules!$B$2:$B$200),"Uncategorized"))</f>
        <v/>
      </c>
      <c r="E190" s="3" t="str">
        <f aca="false">IF($B190="","",IF($C190&gt;=0,"Income","Expense"))</f>
        <v/>
      </c>
      <c r="F190" s="3" t="str">
        <f aca="false">IF($B190="","",IFERROR(LOOKUP(2^15,SEARCH(Rules!$A$2:$A$200&amp;"",$B190)/(Rules!$A$2:$A$200&lt;&gt;""),Rules!$A$2:$A$200),""))</f>
        <v/>
      </c>
      <c r="G190" s="3" t="str">
        <f aca="false">IF($B190="","",IF(D190="Uncategorized","⚠ Review",IF(IFERROR(LOOKUP(2^15,SEARCH(Rules!$A$2:$A$200&amp;"",$B190)/(Rules!$A$2:$A$200&lt;&gt;""),Rules!$C$2:$C$200),"")&lt;&gt;E190,"⚠ Check sign","OK")))</f>
        <v/>
      </c>
    </row>
    <row r="191" customFormat="false" ht="15" hidden="false" customHeight="false" outlineLevel="0" collapsed="false">
      <c r="A191" s="3"/>
      <c r="B191" s="3"/>
      <c r="C191" s="3"/>
      <c r="D191" s="3" t="str">
        <f aca="false">IF($B191="","",IFERROR(LOOKUP(2^15,SEARCH(Rules!$A$2:$A$200&amp;"",$B191)/(Rules!$A$2:$A$200&lt;&gt;""),Rules!$B$2:$B$200),"Uncategorized"))</f>
        <v/>
      </c>
      <c r="E191" s="3" t="str">
        <f aca="false">IF($B191="","",IF($C191&gt;=0,"Income","Expense"))</f>
        <v/>
      </c>
      <c r="F191" s="3" t="str">
        <f aca="false">IF($B191="","",IFERROR(LOOKUP(2^15,SEARCH(Rules!$A$2:$A$200&amp;"",$B191)/(Rules!$A$2:$A$200&lt;&gt;""),Rules!$A$2:$A$200),""))</f>
        <v/>
      </c>
      <c r="G191" s="3" t="str">
        <f aca="false">IF($B191="","",IF(D191="Uncategorized","⚠ Review",IF(IFERROR(LOOKUP(2^15,SEARCH(Rules!$A$2:$A$200&amp;"",$B191)/(Rules!$A$2:$A$200&lt;&gt;""),Rules!$C$2:$C$200),"")&lt;&gt;E191,"⚠ Check sign","OK")))</f>
        <v/>
      </c>
    </row>
    <row r="192" customFormat="false" ht="15" hidden="false" customHeight="false" outlineLevel="0" collapsed="false">
      <c r="A192" s="3"/>
      <c r="B192" s="3"/>
      <c r="C192" s="3"/>
      <c r="D192" s="3" t="str">
        <f aca="false">IF($B192="","",IFERROR(LOOKUP(2^15,SEARCH(Rules!$A$2:$A$200&amp;"",$B192)/(Rules!$A$2:$A$200&lt;&gt;""),Rules!$B$2:$B$200),"Uncategorized"))</f>
        <v/>
      </c>
      <c r="E192" s="3" t="str">
        <f aca="false">IF($B192="","",IF($C192&gt;=0,"Income","Expense"))</f>
        <v/>
      </c>
      <c r="F192" s="3" t="str">
        <f aca="false">IF($B192="","",IFERROR(LOOKUP(2^15,SEARCH(Rules!$A$2:$A$200&amp;"",$B192)/(Rules!$A$2:$A$200&lt;&gt;""),Rules!$A$2:$A$200),""))</f>
        <v/>
      </c>
      <c r="G192" s="3" t="str">
        <f aca="false">IF($B192="","",IF(D192="Uncategorized","⚠ Review",IF(IFERROR(LOOKUP(2^15,SEARCH(Rules!$A$2:$A$200&amp;"",$B192)/(Rules!$A$2:$A$200&lt;&gt;""),Rules!$C$2:$C$200),"")&lt;&gt;E192,"⚠ Check sign","OK")))</f>
        <v/>
      </c>
    </row>
    <row r="193" customFormat="false" ht="15" hidden="false" customHeight="false" outlineLevel="0" collapsed="false">
      <c r="A193" s="3"/>
      <c r="B193" s="3"/>
      <c r="C193" s="3"/>
      <c r="D193" s="3" t="str">
        <f aca="false">IF($B193="","",IFERROR(LOOKUP(2^15,SEARCH(Rules!$A$2:$A$200&amp;"",$B193)/(Rules!$A$2:$A$200&lt;&gt;""),Rules!$B$2:$B$200),"Uncategorized"))</f>
        <v/>
      </c>
      <c r="E193" s="3" t="str">
        <f aca="false">IF($B193="","",IF($C193&gt;=0,"Income","Expense"))</f>
        <v/>
      </c>
      <c r="F193" s="3" t="str">
        <f aca="false">IF($B193="","",IFERROR(LOOKUP(2^15,SEARCH(Rules!$A$2:$A$200&amp;"",$B193)/(Rules!$A$2:$A$200&lt;&gt;""),Rules!$A$2:$A$200),""))</f>
        <v/>
      </c>
      <c r="G193" s="3" t="str">
        <f aca="false">IF($B193="","",IF(D193="Uncategorized","⚠ Review",IF(IFERROR(LOOKUP(2^15,SEARCH(Rules!$A$2:$A$200&amp;"",$B193)/(Rules!$A$2:$A$200&lt;&gt;""),Rules!$C$2:$C$200),"")&lt;&gt;E193,"⚠ Check sign","OK")))</f>
        <v/>
      </c>
    </row>
    <row r="194" customFormat="false" ht="15" hidden="false" customHeight="false" outlineLevel="0" collapsed="false">
      <c r="A194" s="3"/>
      <c r="B194" s="3"/>
      <c r="C194" s="3"/>
      <c r="D194" s="3" t="str">
        <f aca="false">IF($B194="","",IFERROR(LOOKUP(2^15,SEARCH(Rules!$A$2:$A$200&amp;"",$B194)/(Rules!$A$2:$A$200&lt;&gt;""),Rules!$B$2:$B$200),"Uncategorized"))</f>
        <v/>
      </c>
      <c r="E194" s="3" t="str">
        <f aca="false">IF($B194="","",IF($C194&gt;=0,"Income","Expense"))</f>
        <v/>
      </c>
      <c r="F194" s="3" t="str">
        <f aca="false">IF($B194="","",IFERROR(LOOKUP(2^15,SEARCH(Rules!$A$2:$A$200&amp;"",$B194)/(Rules!$A$2:$A$200&lt;&gt;""),Rules!$A$2:$A$200),""))</f>
        <v/>
      </c>
      <c r="G194" s="3" t="str">
        <f aca="false">IF($B194="","",IF(D194="Uncategorized","⚠ Review",IF(IFERROR(LOOKUP(2^15,SEARCH(Rules!$A$2:$A$200&amp;"",$B194)/(Rules!$A$2:$A$200&lt;&gt;""),Rules!$C$2:$C$200),"")&lt;&gt;E194,"⚠ Check sign","OK")))</f>
        <v/>
      </c>
    </row>
    <row r="195" customFormat="false" ht="15" hidden="false" customHeight="false" outlineLevel="0" collapsed="false">
      <c r="A195" s="3"/>
      <c r="B195" s="3"/>
      <c r="C195" s="3"/>
      <c r="D195" s="3" t="str">
        <f aca="false">IF($B195="","",IFERROR(LOOKUP(2^15,SEARCH(Rules!$A$2:$A$200&amp;"",$B195)/(Rules!$A$2:$A$200&lt;&gt;""),Rules!$B$2:$B$200),"Uncategorized"))</f>
        <v/>
      </c>
      <c r="E195" s="3" t="str">
        <f aca="false">IF($B195="","",IF($C195&gt;=0,"Income","Expense"))</f>
        <v/>
      </c>
      <c r="F195" s="3" t="str">
        <f aca="false">IF($B195="","",IFERROR(LOOKUP(2^15,SEARCH(Rules!$A$2:$A$200&amp;"",$B195)/(Rules!$A$2:$A$200&lt;&gt;""),Rules!$A$2:$A$200),""))</f>
        <v/>
      </c>
      <c r="G195" s="3" t="str">
        <f aca="false">IF($B195="","",IF(D195="Uncategorized","⚠ Review",IF(IFERROR(LOOKUP(2^15,SEARCH(Rules!$A$2:$A$200&amp;"",$B195)/(Rules!$A$2:$A$200&lt;&gt;""),Rules!$C$2:$C$200),"")&lt;&gt;E195,"⚠ Check sign","OK")))</f>
        <v/>
      </c>
    </row>
    <row r="196" customFormat="false" ht="15" hidden="false" customHeight="false" outlineLevel="0" collapsed="false">
      <c r="A196" s="3"/>
      <c r="B196" s="3"/>
      <c r="C196" s="3"/>
      <c r="D196" s="3" t="str">
        <f aca="false">IF($B196="","",IFERROR(LOOKUP(2^15,SEARCH(Rules!$A$2:$A$200&amp;"",$B196)/(Rules!$A$2:$A$200&lt;&gt;""),Rules!$B$2:$B$200),"Uncategorized"))</f>
        <v/>
      </c>
      <c r="E196" s="3" t="str">
        <f aca="false">IF($B196="","",IF($C196&gt;=0,"Income","Expense"))</f>
        <v/>
      </c>
      <c r="F196" s="3" t="str">
        <f aca="false">IF($B196="","",IFERROR(LOOKUP(2^15,SEARCH(Rules!$A$2:$A$200&amp;"",$B196)/(Rules!$A$2:$A$200&lt;&gt;""),Rules!$A$2:$A$200),""))</f>
        <v/>
      </c>
      <c r="G196" s="3" t="str">
        <f aca="false">IF($B196="","",IF(D196="Uncategorized","⚠ Review",IF(IFERROR(LOOKUP(2^15,SEARCH(Rules!$A$2:$A$200&amp;"",$B196)/(Rules!$A$2:$A$200&lt;&gt;""),Rules!$C$2:$C$200),"")&lt;&gt;E196,"⚠ Check sign","OK")))</f>
        <v/>
      </c>
    </row>
    <row r="197" customFormat="false" ht="15" hidden="false" customHeight="false" outlineLevel="0" collapsed="false">
      <c r="A197" s="3"/>
      <c r="B197" s="3"/>
      <c r="C197" s="3"/>
      <c r="D197" s="3" t="str">
        <f aca="false">IF($B197="","",IFERROR(LOOKUP(2^15,SEARCH(Rules!$A$2:$A$200&amp;"",$B197)/(Rules!$A$2:$A$200&lt;&gt;""),Rules!$B$2:$B$200),"Uncategorized"))</f>
        <v/>
      </c>
      <c r="E197" s="3" t="str">
        <f aca="false">IF($B197="","",IF($C197&gt;=0,"Income","Expense"))</f>
        <v/>
      </c>
      <c r="F197" s="3" t="str">
        <f aca="false">IF($B197="","",IFERROR(LOOKUP(2^15,SEARCH(Rules!$A$2:$A$200&amp;"",$B197)/(Rules!$A$2:$A$200&lt;&gt;""),Rules!$A$2:$A$200),""))</f>
        <v/>
      </c>
      <c r="G197" s="3" t="str">
        <f aca="false">IF($B197="","",IF(D197="Uncategorized","⚠ Review",IF(IFERROR(LOOKUP(2^15,SEARCH(Rules!$A$2:$A$200&amp;"",$B197)/(Rules!$A$2:$A$200&lt;&gt;""),Rules!$C$2:$C$200),"")&lt;&gt;E197,"⚠ Check sign","OK")))</f>
        <v/>
      </c>
    </row>
    <row r="198" customFormat="false" ht="15" hidden="false" customHeight="false" outlineLevel="0" collapsed="false">
      <c r="A198" s="3"/>
      <c r="B198" s="3"/>
      <c r="C198" s="3"/>
      <c r="D198" s="3" t="str">
        <f aca="false">IF($B198="","",IFERROR(LOOKUP(2^15,SEARCH(Rules!$A$2:$A$200&amp;"",$B198)/(Rules!$A$2:$A$200&lt;&gt;""),Rules!$B$2:$B$200),"Uncategorized"))</f>
        <v/>
      </c>
      <c r="E198" s="3" t="str">
        <f aca="false">IF($B198="","",IF($C198&gt;=0,"Income","Expense"))</f>
        <v/>
      </c>
      <c r="F198" s="3" t="str">
        <f aca="false">IF($B198="","",IFERROR(LOOKUP(2^15,SEARCH(Rules!$A$2:$A$200&amp;"",$B198)/(Rules!$A$2:$A$200&lt;&gt;""),Rules!$A$2:$A$200),""))</f>
        <v/>
      </c>
      <c r="G198" s="3" t="str">
        <f aca="false">IF($B198="","",IF(D198="Uncategorized","⚠ Review",IF(IFERROR(LOOKUP(2^15,SEARCH(Rules!$A$2:$A$200&amp;"",$B198)/(Rules!$A$2:$A$200&lt;&gt;""),Rules!$C$2:$C$200),"")&lt;&gt;E198,"⚠ Check sign","OK")))</f>
        <v/>
      </c>
    </row>
    <row r="199" customFormat="false" ht="15" hidden="false" customHeight="false" outlineLevel="0" collapsed="false">
      <c r="A199" s="3"/>
      <c r="B199" s="3"/>
      <c r="C199" s="3"/>
      <c r="D199" s="3" t="str">
        <f aca="false">IF($B199="","",IFERROR(LOOKUP(2^15,SEARCH(Rules!$A$2:$A$200&amp;"",$B199)/(Rules!$A$2:$A$200&lt;&gt;""),Rules!$B$2:$B$200),"Uncategorized"))</f>
        <v/>
      </c>
      <c r="E199" s="3" t="str">
        <f aca="false">IF($B199="","",IF($C199&gt;=0,"Income","Expense"))</f>
        <v/>
      </c>
      <c r="F199" s="3" t="str">
        <f aca="false">IF($B199="","",IFERROR(LOOKUP(2^15,SEARCH(Rules!$A$2:$A$200&amp;"",$B199)/(Rules!$A$2:$A$200&lt;&gt;""),Rules!$A$2:$A$200),""))</f>
        <v/>
      </c>
      <c r="G199" s="3" t="str">
        <f aca="false">IF($B199="","",IF(D199="Uncategorized","⚠ Review",IF(IFERROR(LOOKUP(2^15,SEARCH(Rules!$A$2:$A$200&amp;"",$B199)/(Rules!$A$2:$A$200&lt;&gt;""),Rules!$C$2:$C$200),"")&lt;&gt;E199,"⚠ Check sign","OK")))</f>
        <v/>
      </c>
    </row>
    <row r="200" customFormat="false" ht="15" hidden="false" customHeight="false" outlineLevel="0" collapsed="false">
      <c r="A200" s="3"/>
      <c r="B200" s="3"/>
      <c r="C200" s="3"/>
      <c r="D200" s="3" t="str">
        <f aca="false">IF($B200="","",IFERROR(LOOKUP(2^15,SEARCH(Rules!$A$2:$A$200&amp;"",$B200)/(Rules!$A$2:$A$200&lt;&gt;""),Rules!$B$2:$B$200),"Uncategorized"))</f>
        <v/>
      </c>
      <c r="E200" s="3" t="str">
        <f aca="false">IF($B200="","",IF($C200&gt;=0,"Income","Expense"))</f>
        <v/>
      </c>
      <c r="F200" s="3" t="str">
        <f aca="false">IF($B200="","",IFERROR(LOOKUP(2^15,SEARCH(Rules!$A$2:$A$200&amp;"",$B200)/(Rules!$A$2:$A$200&lt;&gt;""),Rules!$A$2:$A$200),""))</f>
        <v/>
      </c>
      <c r="G200" s="3" t="str">
        <f aca="false">IF($B200="","",IF(D200="Uncategorized","⚠ Review",IF(IFERROR(LOOKUP(2^15,SEARCH(Rules!$A$2:$A$200&amp;"",$B200)/(Rules!$A$2:$A$200&lt;&gt;""),Rules!$C$2:$C$200),"")&lt;&gt;E200,"⚠ Check sign","OK")))</f>
        <v/>
      </c>
    </row>
    <row r="201" customFormat="false" ht="15" hidden="false" customHeight="false" outlineLevel="0" collapsed="false">
      <c r="A201" s="3"/>
      <c r="B201" s="3"/>
      <c r="C201" s="3"/>
      <c r="D201" s="3" t="str">
        <f aca="false">IF($B201="","",IFERROR(LOOKUP(2^15,SEARCH(Rules!$A$2:$A$200&amp;"",$B201)/(Rules!$A$2:$A$200&lt;&gt;""),Rules!$B$2:$B$200),"Uncategorized"))</f>
        <v/>
      </c>
      <c r="E201" s="3" t="str">
        <f aca="false">IF($B201="","",IF($C201&gt;=0,"Income","Expense"))</f>
        <v/>
      </c>
      <c r="F201" s="3" t="str">
        <f aca="false">IF($B201="","",IFERROR(LOOKUP(2^15,SEARCH(Rules!$A$2:$A$200&amp;"",$B201)/(Rules!$A$2:$A$200&lt;&gt;""),Rules!$A$2:$A$200),""))</f>
        <v/>
      </c>
      <c r="G201" s="3" t="str">
        <f aca="false">IF($B201="","",IF(D201="Uncategorized","⚠ Review",IF(IFERROR(LOOKUP(2^15,SEARCH(Rules!$A$2:$A$200&amp;"",$B201)/(Rules!$A$2:$A$200&lt;&gt;""),Rules!$C$2:$C$200),"")&lt;&gt;E201,"⚠ Check sign","OK")))</f>
        <v/>
      </c>
    </row>
    <row r="202" customFormat="false" ht="15" hidden="false" customHeight="false" outlineLevel="0" collapsed="false">
      <c r="A202" s="3"/>
      <c r="B202" s="3"/>
      <c r="C202" s="3"/>
      <c r="D202" s="3" t="str">
        <f aca="false">IF($B202="","",IFERROR(LOOKUP(2^15,SEARCH(Rules!$A$2:$A$200&amp;"",$B202)/(Rules!$A$2:$A$200&lt;&gt;""),Rules!$B$2:$B$200),"Uncategorized"))</f>
        <v/>
      </c>
      <c r="E202" s="3" t="str">
        <f aca="false">IF($B202="","",IF($C202&gt;=0,"Income","Expense"))</f>
        <v/>
      </c>
      <c r="F202" s="3" t="str">
        <f aca="false">IF($B202="","",IFERROR(LOOKUP(2^15,SEARCH(Rules!$A$2:$A$200&amp;"",$B202)/(Rules!$A$2:$A$200&lt;&gt;""),Rules!$A$2:$A$200),""))</f>
        <v/>
      </c>
      <c r="G202" s="3" t="str">
        <f aca="false">IF($B202="","",IF(D202="Uncategorized","⚠ Review",IF(IFERROR(LOOKUP(2^15,SEARCH(Rules!$A$2:$A$200&amp;"",$B202)/(Rules!$A$2:$A$200&lt;&gt;""),Rules!$C$2:$C$200),"")&lt;&gt;E202,"⚠ Check sign","OK")))</f>
        <v/>
      </c>
    </row>
    <row r="203" customFormat="false" ht="15" hidden="false" customHeight="false" outlineLevel="0" collapsed="false">
      <c r="A203" s="3"/>
      <c r="B203" s="3"/>
      <c r="C203" s="3"/>
      <c r="D203" s="3" t="str">
        <f aca="false">IF($B203="","",IFERROR(LOOKUP(2^15,SEARCH(Rules!$A$2:$A$200&amp;"",$B203)/(Rules!$A$2:$A$200&lt;&gt;""),Rules!$B$2:$B$200),"Uncategorized"))</f>
        <v/>
      </c>
      <c r="E203" s="3" t="str">
        <f aca="false">IF($B203="","",IF($C203&gt;=0,"Income","Expense"))</f>
        <v/>
      </c>
      <c r="F203" s="3" t="str">
        <f aca="false">IF($B203="","",IFERROR(LOOKUP(2^15,SEARCH(Rules!$A$2:$A$200&amp;"",$B203)/(Rules!$A$2:$A$200&lt;&gt;""),Rules!$A$2:$A$200),""))</f>
        <v/>
      </c>
      <c r="G203" s="3" t="str">
        <f aca="false">IF($B203="","",IF(D203="Uncategorized","⚠ Review",IF(IFERROR(LOOKUP(2^15,SEARCH(Rules!$A$2:$A$200&amp;"",$B203)/(Rules!$A$2:$A$200&lt;&gt;""),Rules!$C$2:$C$200),"")&lt;&gt;E203,"⚠ Check sign","OK")))</f>
        <v/>
      </c>
    </row>
    <row r="204" customFormat="false" ht="15" hidden="false" customHeight="false" outlineLevel="0" collapsed="false">
      <c r="A204" s="3"/>
      <c r="B204" s="3"/>
      <c r="C204" s="3"/>
      <c r="D204" s="3" t="str">
        <f aca="false">IF($B204="","",IFERROR(LOOKUP(2^15,SEARCH(Rules!$A$2:$A$200&amp;"",$B204)/(Rules!$A$2:$A$200&lt;&gt;""),Rules!$B$2:$B$200),"Uncategorized"))</f>
        <v/>
      </c>
      <c r="E204" s="3" t="str">
        <f aca="false">IF($B204="","",IF($C204&gt;=0,"Income","Expense"))</f>
        <v/>
      </c>
      <c r="F204" s="3" t="str">
        <f aca="false">IF($B204="","",IFERROR(LOOKUP(2^15,SEARCH(Rules!$A$2:$A$200&amp;"",$B204)/(Rules!$A$2:$A$200&lt;&gt;""),Rules!$A$2:$A$200),""))</f>
        <v/>
      </c>
      <c r="G204" s="3" t="str">
        <f aca="false">IF($B204="","",IF(D204="Uncategorized","⚠ Review",IF(IFERROR(LOOKUP(2^15,SEARCH(Rules!$A$2:$A$200&amp;"",$B204)/(Rules!$A$2:$A$200&lt;&gt;""),Rules!$C$2:$C$200),"")&lt;&gt;E204,"⚠ Check sign","OK")))</f>
        <v/>
      </c>
    </row>
    <row r="205" customFormat="false" ht="15" hidden="false" customHeight="false" outlineLevel="0" collapsed="false">
      <c r="A205" s="3"/>
      <c r="B205" s="3"/>
      <c r="C205" s="3"/>
      <c r="D205" s="3" t="str">
        <f aca="false">IF($B205="","",IFERROR(LOOKUP(2^15,SEARCH(Rules!$A$2:$A$200&amp;"",$B205)/(Rules!$A$2:$A$200&lt;&gt;""),Rules!$B$2:$B$200),"Uncategorized"))</f>
        <v/>
      </c>
      <c r="E205" s="3" t="str">
        <f aca="false">IF($B205="","",IF($C205&gt;=0,"Income","Expense"))</f>
        <v/>
      </c>
      <c r="F205" s="3" t="str">
        <f aca="false">IF($B205="","",IFERROR(LOOKUP(2^15,SEARCH(Rules!$A$2:$A$200&amp;"",$B205)/(Rules!$A$2:$A$200&lt;&gt;""),Rules!$A$2:$A$200),""))</f>
        <v/>
      </c>
      <c r="G205" s="3" t="str">
        <f aca="false">IF($B205="","",IF(D205="Uncategorized","⚠ Review",IF(IFERROR(LOOKUP(2^15,SEARCH(Rules!$A$2:$A$200&amp;"",$B205)/(Rules!$A$2:$A$200&lt;&gt;""),Rules!$C$2:$C$200),"")&lt;&gt;E205,"⚠ Check sign","OK")))</f>
        <v/>
      </c>
    </row>
    <row r="206" customFormat="false" ht="15" hidden="false" customHeight="false" outlineLevel="0" collapsed="false">
      <c r="A206" s="3"/>
      <c r="B206" s="3"/>
      <c r="C206" s="3"/>
      <c r="D206" s="3" t="str">
        <f aca="false">IF($B206="","",IFERROR(LOOKUP(2^15,SEARCH(Rules!$A$2:$A$200&amp;"",$B206)/(Rules!$A$2:$A$200&lt;&gt;""),Rules!$B$2:$B$200),"Uncategorized"))</f>
        <v/>
      </c>
      <c r="E206" s="3" t="str">
        <f aca="false">IF($B206="","",IF($C206&gt;=0,"Income","Expense"))</f>
        <v/>
      </c>
      <c r="F206" s="3" t="str">
        <f aca="false">IF($B206="","",IFERROR(LOOKUP(2^15,SEARCH(Rules!$A$2:$A$200&amp;"",$B206)/(Rules!$A$2:$A$200&lt;&gt;""),Rules!$A$2:$A$200),""))</f>
        <v/>
      </c>
      <c r="G206" s="3" t="str">
        <f aca="false">IF($B206="","",IF(D206="Uncategorized","⚠ Review",IF(IFERROR(LOOKUP(2^15,SEARCH(Rules!$A$2:$A$200&amp;"",$B206)/(Rules!$A$2:$A$200&lt;&gt;""),Rules!$C$2:$C$200),"")&lt;&gt;E206,"⚠ Check sign","OK")))</f>
        <v/>
      </c>
    </row>
    <row r="207" customFormat="false" ht="15" hidden="false" customHeight="false" outlineLevel="0" collapsed="false">
      <c r="A207" s="3"/>
      <c r="B207" s="3"/>
      <c r="C207" s="3"/>
      <c r="D207" s="3" t="str">
        <f aca="false">IF($B207="","",IFERROR(LOOKUP(2^15,SEARCH(Rules!$A$2:$A$200&amp;"",$B207)/(Rules!$A$2:$A$200&lt;&gt;""),Rules!$B$2:$B$200),"Uncategorized"))</f>
        <v/>
      </c>
      <c r="E207" s="3" t="str">
        <f aca="false">IF($B207="","",IF($C207&gt;=0,"Income","Expense"))</f>
        <v/>
      </c>
      <c r="F207" s="3" t="str">
        <f aca="false">IF($B207="","",IFERROR(LOOKUP(2^15,SEARCH(Rules!$A$2:$A$200&amp;"",$B207)/(Rules!$A$2:$A$200&lt;&gt;""),Rules!$A$2:$A$200),""))</f>
        <v/>
      </c>
      <c r="G207" s="3" t="str">
        <f aca="false">IF($B207="","",IF(D207="Uncategorized","⚠ Review",IF(IFERROR(LOOKUP(2^15,SEARCH(Rules!$A$2:$A$200&amp;"",$B207)/(Rules!$A$2:$A$200&lt;&gt;""),Rules!$C$2:$C$200),"")&lt;&gt;E207,"⚠ Check sign","OK")))</f>
        <v/>
      </c>
    </row>
    <row r="208" customFormat="false" ht="15" hidden="false" customHeight="false" outlineLevel="0" collapsed="false">
      <c r="A208" s="3"/>
      <c r="B208" s="3"/>
      <c r="C208" s="3"/>
      <c r="D208" s="3" t="str">
        <f aca="false">IF($B208="","",IFERROR(LOOKUP(2^15,SEARCH(Rules!$A$2:$A$200&amp;"",$B208)/(Rules!$A$2:$A$200&lt;&gt;""),Rules!$B$2:$B$200),"Uncategorized"))</f>
        <v/>
      </c>
      <c r="E208" s="3" t="str">
        <f aca="false">IF($B208="","",IF($C208&gt;=0,"Income","Expense"))</f>
        <v/>
      </c>
      <c r="F208" s="3" t="str">
        <f aca="false">IF($B208="","",IFERROR(LOOKUP(2^15,SEARCH(Rules!$A$2:$A$200&amp;"",$B208)/(Rules!$A$2:$A$200&lt;&gt;""),Rules!$A$2:$A$200),""))</f>
        <v/>
      </c>
      <c r="G208" s="3" t="str">
        <f aca="false">IF($B208="","",IF(D208="Uncategorized","⚠ Review",IF(IFERROR(LOOKUP(2^15,SEARCH(Rules!$A$2:$A$200&amp;"",$B208)/(Rules!$A$2:$A$200&lt;&gt;""),Rules!$C$2:$C$200),"")&lt;&gt;E208,"⚠ Check sign","OK")))</f>
        <v/>
      </c>
    </row>
    <row r="209" customFormat="false" ht="15" hidden="false" customHeight="false" outlineLevel="0" collapsed="false">
      <c r="A209" s="3"/>
      <c r="B209" s="3"/>
      <c r="C209" s="3"/>
      <c r="D209" s="3" t="str">
        <f aca="false">IF($B209="","",IFERROR(LOOKUP(2^15,SEARCH(Rules!$A$2:$A$200&amp;"",$B209)/(Rules!$A$2:$A$200&lt;&gt;""),Rules!$B$2:$B$200),"Uncategorized"))</f>
        <v/>
      </c>
      <c r="E209" s="3" t="str">
        <f aca="false">IF($B209="","",IF($C209&gt;=0,"Income","Expense"))</f>
        <v/>
      </c>
      <c r="F209" s="3" t="str">
        <f aca="false">IF($B209="","",IFERROR(LOOKUP(2^15,SEARCH(Rules!$A$2:$A$200&amp;"",$B209)/(Rules!$A$2:$A$200&lt;&gt;""),Rules!$A$2:$A$200),""))</f>
        <v/>
      </c>
      <c r="G209" s="3" t="str">
        <f aca="false">IF($B209="","",IF(D209="Uncategorized","⚠ Review",IF(IFERROR(LOOKUP(2^15,SEARCH(Rules!$A$2:$A$200&amp;"",$B209)/(Rules!$A$2:$A$200&lt;&gt;""),Rules!$C$2:$C$200),"")&lt;&gt;E209,"⚠ Check sign","OK")))</f>
        <v/>
      </c>
    </row>
    <row r="210" customFormat="false" ht="15" hidden="false" customHeight="false" outlineLevel="0" collapsed="false">
      <c r="A210" s="3"/>
      <c r="B210" s="3"/>
      <c r="C210" s="3"/>
      <c r="D210" s="3" t="str">
        <f aca="false">IF($B210="","",IFERROR(LOOKUP(2^15,SEARCH(Rules!$A$2:$A$200&amp;"",$B210)/(Rules!$A$2:$A$200&lt;&gt;""),Rules!$B$2:$B$200),"Uncategorized"))</f>
        <v/>
      </c>
      <c r="E210" s="3" t="str">
        <f aca="false">IF($B210="","",IF($C210&gt;=0,"Income","Expense"))</f>
        <v/>
      </c>
      <c r="F210" s="3" t="str">
        <f aca="false">IF($B210="","",IFERROR(LOOKUP(2^15,SEARCH(Rules!$A$2:$A$200&amp;"",$B210)/(Rules!$A$2:$A$200&lt;&gt;""),Rules!$A$2:$A$200),""))</f>
        <v/>
      </c>
      <c r="G210" s="3" t="str">
        <f aca="false">IF($B210="","",IF(D210="Uncategorized","⚠ Review",IF(IFERROR(LOOKUP(2^15,SEARCH(Rules!$A$2:$A$200&amp;"",$B210)/(Rules!$A$2:$A$200&lt;&gt;""),Rules!$C$2:$C$200),"")&lt;&gt;E210,"⚠ Check sign","OK")))</f>
        <v/>
      </c>
    </row>
    <row r="211" customFormat="false" ht="15" hidden="false" customHeight="false" outlineLevel="0" collapsed="false">
      <c r="A211" s="3"/>
      <c r="B211" s="3"/>
      <c r="C211" s="3"/>
      <c r="D211" s="3" t="str">
        <f aca="false">IF($B211="","",IFERROR(LOOKUP(2^15,SEARCH(Rules!$A$2:$A$200&amp;"",$B211)/(Rules!$A$2:$A$200&lt;&gt;""),Rules!$B$2:$B$200),"Uncategorized"))</f>
        <v/>
      </c>
      <c r="E211" s="3" t="str">
        <f aca="false">IF($B211="","",IF($C211&gt;=0,"Income","Expense"))</f>
        <v/>
      </c>
      <c r="F211" s="3" t="str">
        <f aca="false">IF($B211="","",IFERROR(LOOKUP(2^15,SEARCH(Rules!$A$2:$A$200&amp;"",$B211)/(Rules!$A$2:$A$200&lt;&gt;""),Rules!$A$2:$A$200),""))</f>
        <v/>
      </c>
      <c r="G211" s="3" t="str">
        <f aca="false">IF($B211="","",IF(D211="Uncategorized","⚠ Review",IF(IFERROR(LOOKUP(2^15,SEARCH(Rules!$A$2:$A$200&amp;"",$B211)/(Rules!$A$2:$A$200&lt;&gt;""),Rules!$C$2:$C$200),"")&lt;&gt;E211,"⚠ Check sign","OK")))</f>
        <v/>
      </c>
    </row>
    <row r="212" customFormat="false" ht="15" hidden="false" customHeight="false" outlineLevel="0" collapsed="false">
      <c r="A212" s="3"/>
      <c r="B212" s="3"/>
      <c r="C212" s="3"/>
      <c r="D212" s="3" t="str">
        <f aca="false">IF($B212="","",IFERROR(LOOKUP(2^15,SEARCH(Rules!$A$2:$A$200&amp;"",$B212)/(Rules!$A$2:$A$200&lt;&gt;""),Rules!$B$2:$B$200),"Uncategorized"))</f>
        <v/>
      </c>
      <c r="E212" s="3" t="str">
        <f aca="false">IF($B212="","",IF($C212&gt;=0,"Income","Expense"))</f>
        <v/>
      </c>
      <c r="F212" s="3" t="str">
        <f aca="false">IF($B212="","",IFERROR(LOOKUP(2^15,SEARCH(Rules!$A$2:$A$200&amp;"",$B212)/(Rules!$A$2:$A$200&lt;&gt;""),Rules!$A$2:$A$200),""))</f>
        <v/>
      </c>
      <c r="G212" s="3" t="str">
        <f aca="false">IF($B212="","",IF(D212="Uncategorized","⚠ Review",IF(IFERROR(LOOKUP(2^15,SEARCH(Rules!$A$2:$A$200&amp;"",$B212)/(Rules!$A$2:$A$200&lt;&gt;""),Rules!$C$2:$C$200),"")&lt;&gt;E212,"⚠ Check sign","OK")))</f>
        <v/>
      </c>
    </row>
    <row r="213" customFormat="false" ht="15" hidden="false" customHeight="false" outlineLevel="0" collapsed="false">
      <c r="A213" s="3"/>
      <c r="B213" s="3"/>
      <c r="C213" s="3"/>
      <c r="D213" s="3" t="str">
        <f aca="false">IF($B213="","",IFERROR(LOOKUP(2^15,SEARCH(Rules!$A$2:$A$200&amp;"",$B213)/(Rules!$A$2:$A$200&lt;&gt;""),Rules!$B$2:$B$200),"Uncategorized"))</f>
        <v/>
      </c>
      <c r="E213" s="3" t="str">
        <f aca="false">IF($B213="","",IF($C213&gt;=0,"Income","Expense"))</f>
        <v/>
      </c>
      <c r="F213" s="3" t="str">
        <f aca="false">IF($B213="","",IFERROR(LOOKUP(2^15,SEARCH(Rules!$A$2:$A$200&amp;"",$B213)/(Rules!$A$2:$A$200&lt;&gt;""),Rules!$A$2:$A$200),""))</f>
        <v/>
      </c>
      <c r="G213" s="3" t="str">
        <f aca="false">IF($B213="","",IF(D213="Uncategorized","⚠ Review",IF(IFERROR(LOOKUP(2^15,SEARCH(Rules!$A$2:$A$200&amp;"",$B213)/(Rules!$A$2:$A$200&lt;&gt;""),Rules!$C$2:$C$200),"")&lt;&gt;E213,"⚠ Check sign","OK")))</f>
        <v/>
      </c>
    </row>
    <row r="214" customFormat="false" ht="15" hidden="false" customHeight="false" outlineLevel="0" collapsed="false">
      <c r="A214" s="3"/>
      <c r="B214" s="3"/>
      <c r="C214" s="3"/>
      <c r="D214" s="3" t="str">
        <f aca="false">IF($B214="","",IFERROR(LOOKUP(2^15,SEARCH(Rules!$A$2:$A$200&amp;"",$B214)/(Rules!$A$2:$A$200&lt;&gt;""),Rules!$B$2:$B$200),"Uncategorized"))</f>
        <v/>
      </c>
      <c r="E214" s="3" t="str">
        <f aca="false">IF($B214="","",IF($C214&gt;=0,"Income","Expense"))</f>
        <v/>
      </c>
      <c r="F214" s="3" t="str">
        <f aca="false">IF($B214="","",IFERROR(LOOKUP(2^15,SEARCH(Rules!$A$2:$A$200&amp;"",$B214)/(Rules!$A$2:$A$200&lt;&gt;""),Rules!$A$2:$A$200),""))</f>
        <v/>
      </c>
      <c r="G214" s="3" t="str">
        <f aca="false">IF($B214="","",IF(D214="Uncategorized","⚠ Review",IF(IFERROR(LOOKUP(2^15,SEARCH(Rules!$A$2:$A$200&amp;"",$B214)/(Rules!$A$2:$A$200&lt;&gt;""),Rules!$C$2:$C$200),"")&lt;&gt;E214,"⚠ Check sign","OK")))</f>
        <v/>
      </c>
    </row>
    <row r="215" customFormat="false" ht="15" hidden="false" customHeight="false" outlineLevel="0" collapsed="false">
      <c r="A215" s="3"/>
      <c r="B215" s="3"/>
      <c r="C215" s="3"/>
      <c r="D215" s="3" t="str">
        <f aca="false">IF($B215="","",IFERROR(LOOKUP(2^15,SEARCH(Rules!$A$2:$A$200&amp;"",$B215)/(Rules!$A$2:$A$200&lt;&gt;""),Rules!$B$2:$B$200),"Uncategorized"))</f>
        <v/>
      </c>
      <c r="E215" s="3" t="str">
        <f aca="false">IF($B215="","",IF($C215&gt;=0,"Income","Expense"))</f>
        <v/>
      </c>
      <c r="F215" s="3" t="str">
        <f aca="false">IF($B215="","",IFERROR(LOOKUP(2^15,SEARCH(Rules!$A$2:$A$200&amp;"",$B215)/(Rules!$A$2:$A$200&lt;&gt;""),Rules!$A$2:$A$200),""))</f>
        <v/>
      </c>
      <c r="G215" s="3" t="str">
        <f aca="false">IF($B215="","",IF(D215="Uncategorized","⚠ Review",IF(IFERROR(LOOKUP(2^15,SEARCH(Rules!$A$2:$A$200&amp;"",$B215)/(Rules!$A$2:$A$200&lt;&gt;""),Rules!$C$2:$C$200),"")&lt;&gt;E215,"⚠ Check sign","OK")))</f>
        <v/>
      </c>
    </row>
    <row r="216" customFormat="false" ht="15" hidden="false" customHeight="false" outlineLevel="0" collapsed="false">
      <c r="A216" s="3"/>
      <c r="B216" s="3"/>
      <c r="C216" s="3"/>
      <c r="D216" s="3" t="str">
        <f aca="false">IF($B216="","",IFERROR(LOOKUP(2^15,SEARCH(Rules!$A$2:$A$200&amp;"",$B216)/(Rules!$A$2:$A$200&lt;&gt;""),Rules!$B$2:$B$200),"Uncategorized"))</f>
        <v/>
      </c>
      <c r="E216" s="3" t="str">
        <f aca="false">IF($B216="","",IF($C216&gt;=0,"Income","Expense"))</f>
        <v/>
      </c>
      <c r="F216" s="3" t="str">
        <f aca="false">IF($B216="","",IFERROR(LOOKUP(2^15,SEARCH(Rules!$A$2:$A$200&amp;"",$B216)/(Rules!$A$2:$A$200&lt;&gt;""),Rules!$A$2:$A$200),""))</f>
        <v/>
      </c>
      <c r="G216" s="3" t="str">
        <f aca="false">IF($B216="","",IF(D216="Uncategorized","⚠ Review",IF(IFERROR(LOOKUP(2^15,SEARCH(Rules!$A$2:$A$200&amp;"",$B216)/(Rules!$A$2:$A$200&lt;&gt;""),Rules!$C$2:$C$200),"")&lt;&gt;E216,"⚠ Check sign","OK")))</f>
        <v/>
      </c>
    </row>
    <row r="217" customFormat="false" ht="15" hidden="false" customHeight="false" outlineLevel="0" collapsed="false">
      <c r="A217" s="3"/>
      <c r="B217" s="3"/>
      <c r="C217" s="3"/>
      <c r="D217" s="3" t="str">
        <f aca="false">IF($B217="","",IFERROR(LOOKUP(2^15,SEARCH(Rules!$A$2:$A$200&amp;"",$B217)/(Rules!$A$2:$A$200&lt;&gt;""),Rules!$B$2:$B$200),"Uncategorized"))</f>
        <v/>
      </c>
      <c r="E217" s="3" t="str">
        <f aca="false">IF($B217="","",IF($C217&gt;=0,"Income","Expense"))</f>
        <v/>
      </c>
      <c r="F217" s="3" t="str">
        <f aca="false">IF($B217="","",IFERROR(LOOKUP(2^15,SEARCH(Rules!$A$2:$A$200&amp;"",$B217)/(Rules!$A$2:$A$200&lt;&gt;""),Rules!$A$2:$A$200),""))</f>
        <v/>
      </c>
      <c r="G217" s="3" t="str">
        <f aca="false">IF($B217="","",IF(D217="Uncategorized","⚠ Review",IF(IFERROR(LOOKUP(2^15,SEARCH(Rules!$A$2:$A$200&amp;"",$B217)/(Rules!$A$2:$A$200&lt;&gt;""),Rules!$C$2:$C$200),"")&lt;&gt;E217,"⚠ Check sign","OK")))</f>
        <v/>
      </c>
    </row>
    <row r="218" customFormat="false" ht="15" hidden="false" customHeight="false" outlineLevel="0" collapsed="false">
      <c r="A218" s="3"/>
      <c r="B218" s="3"/>
      <c r="C218" s="3"/>
      <c r="D218" s="3" t="str">
        <f aca="false">IF($B218="","",IFERROR(LOOKUP(2^15,SEARCH(Rules!$A$2:$A$200&amp;"",$B218)/(Rules!$A$2:$A$200&lt;&gt;""),Rules!$B$2:$B$200),"Uncategorized"))</f>
        <v/>
      </c>
      <c r="E218" s="3" t="str">
        <f aca="false">IF($B218="","",IF($C218&gt;=0,"Income","Expense"))</f>
        <v/>
      </c>
      <c r="F218" s="3" t="str">
        <f aca="false">IF($B218="","",IFERROR(LOOKUP(2^15,SEARCH(Rules!$A$2:$A$200&amp;"",$B218)/(Rules!$A$2:$A$200&lt;&gt;""),Rules!$A$2:$A$200),""))</f>
        <v/>
      </c>
      <c r="G218" s="3" t="str">
        <f aca="false">IF($B218="","",IF(D218="Uncategorized","⚠ Review",IF(IFERROR(LOOKUP(2^15,SEARCH(Rules!$A$2:$A$200&amp;"",$B218)/(Rules!$A$2:$A$200&lt;&gt;""),Rules!$C$2:$C$200),"")&lt;&gt;E218,"⚠ Check sign","OK")))</f>
        <v/>
      </c>
    </row>
    <row r="219" customFormat="false" ht="15" hidden="false" customHeight="false" outlineLevel="0" collapsed="false">
      <c r="A219" s="3"/>
      <c r="B219" s="3"/>
      <c r="C219" s="3"/>
      <c r="D219" s="3" t="str">
        <f aca="false">IF($B219="","",IFERROR(LOOKUP(2^15,SEARCH(Rules!$A$2:$A$200&amp;"",$B219)/(Rules!$A$2:$A$200&lt;&gt;""),Rules!$B$2:$B$200),"Uncategorized"))</f>
        <v/>
      </c>
      <c r="E219" s="3" t="str">
        <f aca="false">IF($B219="","",IF($C219&gt;=0,"Income","Expense"))</f>
        <v/>
      </c>
      <c r="F219" s="3" t="str">
        <f aca="false">IF($B219="","",IFERROR(LOOKUP(2^15,SEARCH(Rules!$A$2:$A$200&amp;"",$B219)/(Rules!$A$2:$A$200&lt;&gt;""),Rules!$A$2:$A$200),""))</f>
        <v/>
      </c>
      <c r="G219" s="3" t="str">
        <f aca="false">IF($B219="","",IF(D219="Uncategorized","⚠ Review",IF(IFERROR(LOOKUP(2^15,SEARCH(Rules!$A$2:$A$200&amp;"",$B219)/(Rules!$A$2:$A$200&lt;&gt;""),Rules!$C$2:$C$200),"")&lt;&gt;E219,"⚠ Check sign","OK")))</f>
        <v/>
      </c>
    </row>
    <row r="220" customFormat="false" ht="15" hidden="false" customHeight="false" outlineLevel="0" collapsed="false">
      <c r="A220" s="3"/>
      <c r="B220" s="3"/>
      <c r="C220" s="3"/>
      <c r="D220" s="3" t="str">
        <f aca="false">IF($B220="","",IFERROR(LOOKUP(2^15,SEARCH(Rules!$A$2:$A$200&amp;"",$B220)/(Rules!$A$2:$A$200&lt;&gt;""),Rules!$B$2:$B$200),"Uncategorized"))</f>
        <v/>
      </c>
      <c r="E220" s="3" t="str">
        <f aca="false">IF($B220="","",IF($C220&gt;=0,"Income","Expense"))</f>
        <v/>
      </c>
      <c r="F220" s="3" t="str">
        <f aca="false">IF($B220="","",IFERROR(LOOKUP(2^15,SEARCH(Rules!$A$2:$A$200&amp;"",$B220)/(Rules!$A$2:$A$200&lt;&gt;""),Rules!$A$2:$A$200),""))</f>
        <v/>
      </c>
      <c r="G220" s="3" t="str">
        <f aca="false">IF($B220="","",IF(D220="Uncategorized","⚠ Review",IF(IFERROR(LOOKUP(2^15,SEARCH(Rules!$A$2:$A$200&amp;"",$B220)/(Rules!$A$2:$A$200&lt;&gt;""),Rules!$C$2:$C$200),"")&lt;&gt;E220,"⚠ Check sign","OK")))</f>
        <v/>
      </c>
    </row>
    <row r="221" customFormat="false" ht="15" hidden="false" customHeight="false" outlineLevel="0" collapsed="false">
      <c r="A221" s="3"/>
      <c r="B221" s="3"/>
      <c r="C221" s="3"/>
      <c r="D221" s="3" t="str">
        <f aca="false">IF($B221="","",IFERROR(LOOKUP(2^15,SEARCH(Rules!$A$2:$A$200&amp;"",$B221)/(Rules!$A$2:$A$200&lt;&gt;""),Rules!$B$2:$B$200),"Uncategorized"))</f>
        <v/>
      </c>
      <c r="E221" s="3" t="str">
        <f aca="false">IF($B221="","",IF($C221&gt;=0,"Income","Expense"))</f>
        <v/>
      </c>
      <c r="F221" s="3" t="str">
        <f aca="false">IF($B221="","",IFERROR(LOOKUP(2^15,SEARCH(Rules!$A$2:$A$200&amp;"",$B221)/(Rules!$A$2:$A$200&lt;&gt;""),Rules!$A$2:$A$200),""))</f>
        <v/>
      </c>
      <c r="G221" s="3" t="str">
        <f aca="false">IF($B221="","",IF(D221="Uncategorized","⚠ Review",IF(IFERROR(LOOKUP(2^15,SEARCH(Rules!$A$2:$A$200&amp;"",$B221)/(Rules!$A$2:$A$200&lt;&gt;""),Rules!$C$2:$C$200),"")&lt;&gt;E221,"⚠ Check sign","OK")))</f>
        <v/>
      </c>
    </row>
    <row r="222" customFormat="false" ht="15" hidden="false" customHeight="false" outlineLevel="0" collapsed="false">
      <c r="A222" s="3"/>
      <c r="B222" s="3"/>
      <c r="C222" s="3"/>
      <c r="D222" s="3" t="str">
        <f aca="false">IF($B222="","",IFERROR(LOOKUP(2^15,SEARCH(Rules!$A$2:$A$200&amp;"",$B222)/(Rules!$A$2:$A$200&lt;&gt;""),Rules!$B$2:$B$200),"Uncategorized"))</f>
        <v/>
      </c>
      <c r="E222" s="3" t="str">
        <f aca="false">IF($B222="","",IF($C222&gt;=0,"Income","Expense"))</f>
        <v/>
      </c>
      <c r="F222" s="3" t="str">
        <f aca="false">IF($B222="","",IFERROR(LOOKUP(2^15,SEARCH(Rules!$A$2:$A$200&amp;"",$B222)/(Rules!$A$2:$A$200&lt;&gt;""),Rules!$A$2:$A$200),""))</f>
        <v/>
      </c>
      <c r="G222" s="3" t="str">
        <f aca="false">IF($B222="","",IF(D222="Uncategorized","⚠ Review",IF(IFERROR(LOOKUP(2^15,SEARCH(Rules!$A$2:$A$200&amp;"",$B222)/(Rules!$A$2:$A$200&lt;&gt;""),Rules!$C$2:$C$200),"")&lt;&gt;E222,"⚠ Check sign","OK")))</f>
        <v/>
      </c>
    </row>
    <row r="223" customFormat="false" ht="15" hidden="false" customHeight="false" outlineLevel="0" collapsed="false">
      <c r="A223" s="3"/>
      <c r="B223" s="3"/>
      <c r="C223" s="3"/>
      <c r="D223" s="3" t="str">
        <f aca="false">IF($B223="","",IFERROR(LOOKUP(2^15,SEARCH(Rules!$A$2:$A$200&amp;"",$B223)/(Rules!$A$2:$A$200&lt;&gt;""),Rules!$B$2:$B$200),"Uncategorized"))</f>
        <v/>
      </c>
      <c r="E223" s="3" t="str">
        <f aca="false">IF($B223="","",IF($C223&gt;=0,"Income","Expense"))</f>
        <v/>
      </c>
      <c r="F223" s="3" t="str">
        <f aca="false">IF($B223="","",IFERROR(LOOKUP(2^15,SEARCH(Rules!$A$2:$A$200&amp;"",$B223)/(Rules!$A$2:$A$200&lt;&gt;""),Rules!$A$2:$A$200),""))</f>
        <v/>
      </c>
      <c r="G223" s="3" t="str">
        <f aca="false">IF($B223="","",IF(D223="Uncategorized","⚠ Review",IF(IFERROR(LOOKUP(2^15,SEARCH(Rules!$A$2:$A$200&amp;"",$B223)/(Rules!$A$2:$A$200&lt;&gt;""),Rules!$C$2:$C$200),"")&lt;&gt;E223,"⚠ Check sign","OK")))</f>
        <v/>
      </c>
    </row>
    <row r="224" customFormat="false" ht="15" hidden="false" customHeight="false" outlineLevel="0" collapsed="false">
      <c r="A224" s="3"/>
      <c r="B224" s="3"/>
      <c r="C224" s="3"/>
      <c r="D224" s="3" t="str">
        <f aca="false">IF($B224="","",IFERROR(LOOKUP(2^15,SEARCH(Rules!$A$2:$A$200&amp;"",$B224)/(Rules!$A$2:$A$200&lt;&gt;""),Rules!$B$2:$B$200),"Uncategorized"))</f>
        <v/>
      </c>
      <c r="E224" s="3" t="str">
        <f aca="false">IF($B224="","",IF($C224&gt;=0,"Income","Expense"))</f>
        <v/>
      </c>
      <c r="F224" s="3" t="str">
        <f aca="false">IF($B224="","",IFERROR(LOOKUP(2^15,SEARCH(Rules!$A$2:$A$200&amp;"",$B224)/(Rules!$A$2:$A$200&lt;&gt;""),Rules!$A$2:$A$200),""))</f>
        <v/>
      </c>
      <c r="G224" s="3" t="str">
        <f aca="false">IF($B224="","",IF(D224="Uncategorized","⚠ Review",IF(IFERROR(LOOKUP(2^15,SEARCH(Rules!$A$2:$A$200&amp;"",$B224)/(Rules!$A$2:$A$200&lt;&gt;""),Rules!$C$2:$C$200),"")&lt;&gt;E224,"⚠ Check sign","OK")))</f>
        <v/>
      </c>
    </row>
    <row r="225" customFormat="false" ht="15" hidden="false" customHeight="false" outlineLevel="0" collapsed="false">
      <c r="A225" s="3"/>
      <c r="B225" s="3"/>
      <c r="C225" s="3"/>
      <c r="D225" s="3" t="str">
        <f aca="false">IF($B225="","",IFERROR(LOOKUP(2^15,SEARCH(Rules!$A$2:$A$200&amp;"",$B225)/(Rules!$A$2:$A$200&lt;&gt;""),Rules!$B$2:$B$200),"Uncategorized"))</f>
        <v/>
      </c>
      <c r="E225" s="3" t="str">
        <f aca="false">IF($B225="","",IF($C225&gt;=0,"Income","Expense"))</f>
        <v/>
      </c>
      <c r="F225" s="3" t="str">
        <f aca="false">IF($B225="","",IFERROR(LOOKUP(2^15,SEARCH(Rules!$A$2:$A$200&amp;"",$B225)/(Rules!$A$2:$A$200&lt;&gt;""),Rules!$A$2:$A$200),""))</f>
        <v/>
      </c>
      <c r="G225" s="3" t="str">
        <f aca="false">IF($B225="","",IF(D225="Uncategorized","⚠ Review",IF(IFERROR(LOOKUP(2^15,SEARCH(Rules!$A$2:$A$200&amp;"",$B225)/(Rules!$A$2:$A$200&lt;&gt;""),Rules!$C$2:$C$200),"")&lt;&gt;E225,"⚠ Check sign","OK")))</f>
        <v/>
      </c>
    </row>
    <row r="226" customFormat="false" ht="15" hidden="false" customHeight="false" outlineLevel="0" collapsed="false">
      <c r="A226" s="3"/>
      <c r="B226" s="3"/>
      <c r="C226" s="3"/>
      <c r="D226" s="3" t="str">
        <f aca="false">IF($B226="","",IFERROR(LOOKUP(2^15,SEARCH(Rules!$A$2:$A$200&amp;"",$B226)/(Rules!$A$2:$A$200&lt;&gt;""),Rules!$B$2:$B$200),"Uncategorized"))</f>
        <v/>
      </c>
      <c r="E226" s="3" t="str">
        <f aca="false">IF($B226="","",IF($C226&gt;=0,"Income","Expense"))</f>
        <v/>
      </c>
      <c r="F226" s="3" t="str">
        <f aca="false">IF($B226="","",IFERROR(LOOKUP(2^15,SEARCH(Rules!$A$2:$A$200&amp;"",$B226)/(Rules!$A$2:$A$200&lt;&gt;""),Rules!$A$2:$A$200),""))</f>
        <v/>
      </c>
      <c r="G226" s="3" t="str">
        <f aca="false">IF($B226="","",IF(D226="Uncategorized","⚠ Review",IF(IFERROR(LOOKUP(2^15,SEARCH(Rules!$A$2:$A$200&amp;"",$B226)/(Rules!$A$2:$A$200&lt;&gt;""),Rules!$C$2:$C$200),"")&lt;&gt;E226,"⚠ Check sign","OK")))</f>
        <v/>
      </c>
    </row>
    <row r="227" customFormat="false" ht="15" hidden="false" customHeight="false" outlineLevel="0" collapsed="false">
      <c r="A227" s="3"/>
      <c r="B227" s="3"/>
      <c r="C227" s="3"/>
      <c r="D227" s="3" t="str">
        <f aca="false">IF($B227="","",IFERROR(LOOKUP(2^15,SEARCH(Rules!$A$2:$A$200&amp;"",$B227)/(Rules!$A$2:$A$200&lt;&gt;""),Rules!$B$2:$B$200),"Uncategorized"))</f>
        <v/>
      </c>
      <c r="E227" s="3" t="str">
        <f aca="false">IF($B227="","",IF($C227&gt;=0,"Income","Expense"))</f>
        <v/>
      </c>
      <c r="F227" s="3" t="str">
        <f aca="false">IF($B227="","",IFERROR(LOOKUP(2^15,SEARCH(Rules!$A$2:$A$200&amp;"",$B227)/(Rules!$A$2:$A$200&lt;&gt;""),Rules!$A$2:$A$200),""))</f>
        <v/>
      </c>
      <c r="G227" s="3" t="str">
        <f aca="false">IF($B227="","",IF(D227="Uncategorized","⚠ Review",IF(IFERROR(LOOKUP(2^15,SEARCH(Rules!$A$2:$A$200&amp;"",$B227)/(Rules!$A$2:$A$200&lt;&gt;""),Rules!$C$2:$C$200),"")&lt;&gt;E227,"⚠ Check sign","OK")))</f>
        <v/>
      </c>
    </row>
    <row r="228" customFormat="false" ht="15" hidden="false" customHeight="false" outlineLevel="0" collapsed="false">
      <c r="A228" s="3"/>
      <c r="B228" s="3"/>
      <c r="C228" s="3"/>
      <c r="D228" s="3" t="str">
        <f aca="false">IF($B228="","",IFERROR(LOOKUP(2^15,SEARCH(Rules!$A$2:$A$200&amp;"",$B228)/(Rules!$A$2:$A$200&lt;&gt;""),Rules!$B$2:$B$200),"Uncategorized"))</f>
        <v/>
      </c>
      <c r="E228" s="3" t="str">
        <f aca="false">IF($B228="","",IF($C228&gt;=0,"Income","Expense"))</f>
        <v/>
      </c>
      <c r="F228" s="3" t="str">
        <f aca="false">IF($B228="","",IFERROR(LOOKUP(2^15,SEARCH(Rules!$A$2:$A$200&amp;"",$B228)/(Rules!$A$2:$A$200&lt;&gt;""),Rules!$A$2:$A$200),""))</f>
        <v/>
      </c>
      <c r="G228" s="3" t="str">
        <f aca="false">IF($B228="","",IF(D228="Uncategorized","⚠ Review",IF(IFERROR(LOOKUP(2^15,SEARCH(Rules!$A$2:$A$200&amp;"",$B228)/(Rules!$A$2:$A$200&lt;&gt;""),Rules!$C$2:$C$200),"")&lt;&gt;E228,"⚠ Check sign","OK")))</f>
        <v/>
      </c>
    </row>
    <row r="229" customFormat="false" ht="15" hidden="false" customHeight="false" outlineLevel="0" collapsed="false">
      <c r="A229" s="3"/>
      <c r="B229" s="3"/>
      <c r="C229" s="3"/>
      <c r="D229" s="3" t="str">
        <f aca="false">IF($B229="","",IFERROR(LOOKUP(2^15,SEARCH(Rules!$A$2:$A$200&amp;"",$B229)/(Rules!$A$2:$A$200&lt;&gt;""),Rules!$B$2:$B$200),"Uncategorized"))</f>
        <v/>
      </c>
      <c r="E229" s="3" t="str">
        <f aca="false">IF($B229="","",IF($C229&gt;=0,"Income","Expense"))</f>
        <v/>
      </c>
      <c r="F229" s="3" t="str">
        <f aca="false">IF($B229="","",IFERROR(LOOKUP(2^15,SEARCH(Rules!$A$2:$A$200&amp;"",$B229)/(Rules!$A$2:$A$200&lt;&gt;""),Rules!$A$2:$A$200),""))</f>
        <v/>
      </c>
      <c r="G229" s="3" t="str">
        <f aca="false">IF($B229="","",IF(D229="Uncategorized","⚠ Review",IF(IFERROR(LOOKUP(2^15,SEARCH(Rules!$A$2:$A$200&amp;"",$B229)/(Rules!$A$2:$A$200&lt;&gt;""),Rules!$C$2:$C$200),"")&lt;&gt;E229,"⚠ Check sign","OK")))</f>
        <v/>
      </c>
    </row>
    <row r="230" customFormat="false" ht="15" hidden="false" customHeight="false" outlineLevel="0" collapsed="false">
      <c r="A230" s="3"/>
      <c r="B230" s="3"/>
      <c r="C230" s="3"/>
      <c r="D230" s="3" t="str">
        <f aca="false">IF($B230="","",IFERROR(LOOKUP(2^15,SEARCH(Rules!$A$2:$A$200&amp;"",$B230)/(Rules!$A$2:$A$200&lt;&gt;""),Rules!$B$2:$B$200),"Uncategorized"))</f>
        <v/>
      </c>
      <c r="E230" s="3" t="str">
        <f aca="false">IF($B230="","",IF($C230&gt;=0,"Income","Expense"))</f>
        <v/>
      </c>
      <c r="F230" s="3" t="str">
        <f aca="false">IF($B230="","",IFERROR(LOOKUP(2^15,SEARCH(Rules!$A$2:$A$200&amp;"",$B230)/(Rules!$A$2:$A$200&lt;&gt;""),Rules!$A$2:$A$200),""))</f>
        <v/>
      </c>
      <c r="G230" s="3" t="str">
        <f aca="false">IF($B230="","",IF(D230="Uncategorized","⚠ Review",IF(IFERROR(LOOKUP(2^15,SEARCH(Rules!$A$2:$A$200&amp;"",$B230)/(Rules!$A$2:$A$200&lt;&gt;""),Rules!$C$2:$C$200),"")&lt;&gt;E230,"⚠ Check sign","OK")))</f>
        <v/>
      </c>
    </row>
    <row r="231" customFormat="false" ht="15" hidden="false" customHeight="false" outlineLevel="0" collapsed="false">
      <c r="A231" s="3"/>
      <c r="B231" s="3"/>
      <c r="C231" s="3"/>
      <c r="D231" s="3" t="str">
        <f aca="false">IF($B231="","",IFERROR(LOOKUP(2^15,SEARCH(Rules!$A$2:$A$200&amp;"",$B231)/(Rules!$A$2:$A$200&lt;&gt;""),Rules!$B$2:$B$200),"Uncategorized"))</f>
        <v/>
      </c>
      <c r="E231" s="3" t="str">
        <f aca="false">IF($B231="","",IF($C231&gt;=0,"Income","Expense"))</f>
        <v/>
      </c>
      <c r="F231" s="3" t="str">
        <f aca="false">IF($B231="","",IFERROR(LOOKUP(2^15,SEARCH(Rules!$A$2:$A$200&amp;"",$B231)/(Rules!$A$2:$A$200&lt;&gt;""),Rules!$A$2:$A$200),""))</f>
        <v/>
      </c>
      <c r="G231" s="3" t="str">
        <f aca="false">IF($B231="","",IF(D231="Uncategorized","⚠ Review",IF(IFERROR(LOOKUP(2^15,SEARCH(Rules!$A$2:$A$200&amp;"",$B231)/(Rules!$A$2:$A$200&lt;&gt;""),Rules!$C$2:$C$200),"")&lt;&gt;E231,"⚠ Check sign","OK")))</f>
        <v/>
      </c>
    </row>
    <row r="232" customFormat="false" ht="15" hidden="false" customHeight="false" outlineLevel="0" collapsed="false">
      <c r="A232" s="3"/>
      <c r="B232" s="3"/>
      <c r="C232" s="3"/>
      <c r="D232" s="3" t="str">
        <f aca="false">IF($B232="","",IFERROR(LOOKUP(2^15,SEARCH(Rules!$A$2:$A$200&amp;"",$B232)/(Rules!$A$2:$A$200&lt;&gt;""),Rules!$B$2:$B$200),"Uncategorized"))</f>
        <v/>
      </c>
      <c r="E232" s="3" t="str">
        <f aca="false">IF($B232="","",IF($C232&gt;=0,"Income","Expense"))</f>
        <v/>
      </c>
      <c r="F232" s="3" t="str">
        <f aca="false">IF($B232="","",IFERROR(LOOKUP(2^15,SEARCH(Rules!$A$2:$A$200&amp;"",$B232)/(Rules!$A$2:$A$200&lt;&gt;""),Rules!$A$2:$A$200),""))</f>
        <v/>
      </c>
      <c r="G232" s="3" t="str">
        <f aca="false">IF($B232="","",IF(D232="Uncategorized","⚠ Review",IF(IFERROR(LOOKUP(2^15,SEARCH(Rules!$A$2:$A$200&amp;"",$B232)/(Rules!$A$2:$A$200&lt;&gt;""),Rules!$C$2:$C$200),"")&lt;&gt;E232,"⚠ Check sign","OK")))</f>
        <v/>
      </c>
    </row>
    <row r="233" customFormat="false" ht="15" hidden="false" customHeight="false" outlineLevel="0" collapsed="false">
      <c r="A233" s="3"/>
      <c r="B233" s="3"/>
      <c r="C233" s="3"/>
      <c r="D233" s="3" t="str">
        <f aca="false">IF($B233="","",IFERROR(LOOKUP(2^15,SEARCH(Rules!$A$2:$A$200&amp;"",$B233)/(Rules!$A$2:$A$200&lt;&gt;""),Rules!$B$2:$B$200),"Uncategorized"))</f>
        <v/>
      </c>
      <c r="E233" s="3" t="str">
        <f aca="false">IF($B233="","",IF($C233&gt;=0,"Income","Expense"))</f>
        <v/>
      </c>
      <c r="F233" s="3" t="str">
        <f aca="false">IF($B233="","",IFERROR(LOOKUP(2^15,SEARCH(Rules!$A$2:$A$200&amp;"",$B233)/(Rules!$A$2:$A$200&lt;&gt;""),Rules!$A$2:$A$200),""))</f>
        <v/>
      </c>
      <c r="G233" s="3" t="str">
        <f aca="false">IF($B233="","",IF(D233="Uncategorized","⚠ Review",IF(IFERROR(LOOKUP(2^15,SEARCH(Rules!$A$2:$A$200&amp;"",$B233)/(Rules!$A$2:$A$200&lt;&gt;""),Rules!$C$2:$C$200),"")&lt;&gt;E233,"⚠ Check sign","OK")))</f>
        <v/>
      </c>
    </row>
    <row r="234" customFormat="false" ht="15" hidden="false" customHeight="false" outlineLevel="0" collapsed="false">
      <c r="A234" s="3"/>
      <c r="B234" s="3"/>
      <c r="C234" s="3"/>
      <c r="D234" s="3" t="str">
        <f aca="false">IF($B234="","",IFERROR(LOOKUP(2^15,SEARCH(Rules!$A$2:$A$200&amp;"",$B234)/(Rules!$A$2:$A$200&lt;&gt;""),Rules!$B$2:$B$200),"Uncategorized"))</f>
        <v/>
      </c>
      <c r="E234" s="3" t="str">
        <f aca="false">IF($B234="","",IF($C234&gt;=0,"Income","Expense"))</f>
        <v/>
      </c>
      <c r="F234" s="3" t="str">
        <f aca="false">IF($B234="","",IFERROR(LOOKUP(2^15,SEARCH(Rules!$A$2:$A$200&amp;"",$B234)/(Rules!$A$2:$A$200&lt;&gt;""),Rules!$A$2:$A$200),""))</f>
        <v/>
      </c>
      <c r="G234" s="3" t="str">
        <f aca="false">IF($B234="","",IF(D234="Uncategorized","⚠ Review",IF(IFERROR(LOOKUP(2^15,SEARCH(Rules!$A$2:$A$200&amp;"",$B234)/(Rules!$A$2:$A$200&lt;&gt;""),Rules!$C$2:$C$200),"")&lt;&gt;E234,"⚠ Check sign","OK")))</f>
        <v/>
      </c>
    </row>
    <row r="235" customFormat="false" ht="15" hidden="false" customHeight="false" outlineLevel="0" collapsed="false">
      <c r="A235" s="3"/>
      <c r="B235" s="3"/>
      <c r="C235" s="3"/>
      <c r="D235" s="3" t="str">
        <f aca="false">IF($B235="","",IFERROR(LOOKUP(2^15,SEARCH(Rules!$A$2:$A$200&amp;"",$B235)/(Rules!$A$2:$A$200&lt;&gt;""),Rules!$B$2:$B$200),"Uncategorized"))</f>
        <v/>
      </c>
      <c r="E235" s="3" t="str">
        <f aca="false">IF($B235="","",IF($C235&gt;=0,"Income","Expense"))</f>
        <v/>
      </c>
      <c r="F235" s="3" t="str">
        <f aca="false">IF($B235="","",IFERROR(LOOKUP(2^15,SEARCH(Rules!$A$2:$A$200&amp;"",$B235)/(Rules!$A$2:$A$200&lt;&gt;""),Rules!$A$2:$A$200),""))</f>
        <v/>
      </c>
      <c r="G235" s="3" t="str">
        <f aca="false">IF($B235="","",IF(D235="Uncategorized","⚠ Review",IF(IFERROR(LOOKUP(2^15,SEARCH(Rules!$A$2:$A$200&amp;"",$B235)/(Rules!$A$2:$A$200&lt;&gt;""),Rules!$C$2:$C$200),"")&lt;&gt;E235,"⚠ Check sign","OK")))</f>
        <v/>
      </c>
    </row>
    <row r="236" customFormat="false" ht="15" hidden="false" customHeight="false" outlineLevel="0" collapsed="false">
      <c r="A236" s="3"/>
      <c r="B236" s="3"/>
      <c r="C236" s="3"/>
      <c r="D236" s="3" t="str">
        <f aca="false">IF($B236="","",IFERROR(LOOKUP(2^15,SEARCH(Rules!$A$2:$A$200&amp;"",$B236)/(Rules!$A$2:$A$200&lt;&gt;""),Rules!$B$2:$B$200),"Uncategorized"))</f>
        <v/>
      </c>
      <c r="E236" s="3" t="str">
        <f aca="false">IF($B236="","",IF($C236&gt;=0,"Income","Expense"))</f>
        <v/>
      </c>
      <c r="F236" s="3" t="str">
        <f aca="false">IF($B236="","",IFERROR(LOOKUP(2^15,SEARCH(Rules!$A$2:$A$200&amp;"",$B236)/(Rules!$A$2:$A$200&lt;&gt;""),Rules!$A$2:$A$200),""))</f>
        <v/>
      </c>
      <c r="G236" s="3" t="str">
        <f aca="false">IF($B236="","",IF(D236="Uncategorized","⚠ Review",IF(IFERROR(LOOKUP(2^15,SEARCH(Rules!$A$2:$A$200&amp;"",$B236)/(Rules!$A$2:$A$200&lt;&gt;""),Rules!$C$2:$C$200),"")&lt;&gt;E236,"⚠ Check sign","OK")))</f>
        <v/>
      </c>
    </row>
    <row r="237" customFormat="false" ht="15" hidden="false" customHeight="false" outlineLevel="0" collapsed="false">
      <c r="A237" s="3"/>
      <c r="B237" s="3"/>
      <c r="C237" s="3"/>
      <c r="D237" s="3" t="str">
        <f aca="false">IF($B237="","",IFERROR(LOOKUP(2^15,SEARCH(Rules!$A$2:$A$200&amp;"",$B237)/(Rules!$A$2:$A$200&lt;&gt;""),Rules!$B$2:$B$200),"Uncategorized"))</f>
        <v/>
      </c>
      <c r="E237" s="3" t="str">
        <f aca="false">IF($B237="","",IF($C237&gt;=0,"Income","Expense"))</f>
        <v/>
      </c>
      <c r="F237" s="3" t="str">
        <f aca="false">IF($B237="","",IFERROR(LOOKUP(2^15,SEARCH(Rules!$A$2:$A$200&amp;"",$B237)/(Rules!$A$2:$A$200&lt;&gt;""),Rules!$A$2:$A$200),""))</f>
        <v/>
      </c>
      <c r="G237" s="3" t="str">
        <f aca="false">IF($B237="","",IF(D237="Uncategorized","⚠ Review",IF(IFERROR(LOOKUP(2^15,SEARCH(Rules!$A$2:$A$200&amp;"",$B237)/(Rules!$A$2:$A$200&lt;&gt;""),Rules!$C$2:$C$200),"")&lt;&gt;E237,"⚠ Check sign","OK")))</f>
        <v/>
      </c>
    </row>
    <row r="238" customFormat="false" ht="15" hidden="false" customHeight="false" outlineLevel="0" collapsed="false">
      <c r="A238" s="3"/>
      <c r="B238" s="3"/>
      <c r="C238" s="3"/>
      <c r="D238" s="3" t="str">
        <f aca="false">IF($B238="","",IFERROR(LOOKUP(2^15,SEARCH(Rules!$A$2:$A$200&amp;"",$B238)/(Rules!$A$2:$A$200&lt;&gt;""),Rules!$B$2:$B$200),"Uncategorized"))</f>
        <v/>
      </c>
      <c r="E238" s="3" t="str">
        <f aca="false">IF($B238="","",IF($C238&gt;=0,"Income","Expense"))</f>
        <v/>
      </c>
      <c r="F238" s="3" t="str">
        <f aca="false">IF($B238="","",IFERROR(LOOKUP(2^15,SEARCH(Rules!$A$2:$A$200&amp;"",$B238)/(Rules!$A$2:$A$200&lt;&gt;""),Rules!$A$2:$A$200),""))</f>
        <v/>
      </c>
      <c r="G238" s="3" t="str">
        <f aca="false">IF($B238="","",IF(D238="Uncategorized","⚠ Review",IF(IFERROR(LOOKUP(2^15,SEARCH(Rules!$A$2:$A$200&amp;"",$B238)/(Rules!$A$2:$A$200&lt;&gt;""),Rules!$C$2:$C$200),"")&lt;&gt;E238,"⚠ Check sign","OK")))</f>
        <v/>
      </c>
    </row>
    <row r="239" customFormat="false" ht="15" hidden="false" customHeight="false" outlineLevel="0" collapsed="false">
      <c r="A239" s="3"/>
      <c r="B239" s="3"/>
      <c r="C239" s="3"/>
      <c r="D239" s="3" t="str">
        <f aca="false">IF($B239="","",IFERROR(LOOKUP(2^15,SEARCH(Rules!$A$2:$A$200&amp;"",$B239)/(Rules!$A$2:$A$200&lt;&gt;""),Rules!$B$2:$B$200),"Uncategorized"))</f>
        <v/>
      </c>
      <c r="E239" s="3" t="str">
        <f aca="false">IF($B239="","",IF($C239&gt;=0,"Income","Expense"))</f>
        <v/>
      </c>
      <c r="F239" s="3" t="str">
        <f aca="false">IF($B239="","",IFERROR(LOOKUP(2^15,SEARCH(Rules!$A$2:$A$200&amp;"",$B239)/(Rules!$A$2:$A$200&lt;&gt;""),Rules!$A$2:$A$200),""))</f>
        <v/>
      </c>
      <c r="G239" s="3" t="str">
        <f aca="false">IF($B239="","",IF(D239="Uncategorized","⚠ Review",IF(IFERROR(LOOKUP(2^15,SEARCH(Rules!$A$2:$A$200&amp;"",$B239)/(Rules!$A$2:$A$200&lt;&gt;""),Rules!$C$2:$C$200),"")&lt;&gt;E239,"⚠ Check sign","OK")))</f>
        <v/>
      </c>
    </row>
    <row r="240" customFormat="false" ht="15" hidden="false" customHeight="false" outlineLevel="0" collapsed="false">
      <c r="A240" s="3"/>
      <c r="B240" s="3"/>
      <c r="C240" s="3"/>
      <c r="D240" s="3" t="str">
        <f aca="false">IF($B240="","",IFERROR(LOOKUP(2^15,SEARCH(Rules!$A$2:$A$200&amp;"",$B240)/(Rules!$A$2:$A$200&lt;&gt;""),Rules!$B$2:$B$200),"Uncategorized"))</f>
        <v/>
      </c>
      <c r="E240" s="3" t="str">
        <f aca="false">IF($B240="","",IF($C240&gt;=0,"Income","Expense"))</f>
        <v/>
      </c>
      <c r="F240" s="3" t="str">
        <f aca="false">IF($B240="","",IFERROR(LOOKUP(2^15,SEARCH(Rules!$A$2:$A$200&amp;"",$B240)/(Rules!$A$2:$A$200&lt;&gt;""),Rules!$A$2:$A$200),""))</f>
        <v/>
      </c>
      <c r="G240" s="3" t="str">
        <f aca="false">IF($B240="","",IF(D240="Uncategorized","⚠ Review",IF(IFERROR(LOOKUP(2^15,SEARCH(Rules!$A$2:$A$200&amp;"",$B240)/(Rules!$A$2:$A$200&lt;&gt;""),Rules!$C$2:$C$200),"")&lt;&gt;E240,"⚠ Check sign","OK")))</f>
        <v/>
      </c>
    </row>
    <row r="241" customFormat="false" ht="15" hidden="false" customHeight="false" outlineLevel="0" collapsed="false">
      <c r="A241" s="3"/>
      <c r="B241" s="3"/>
      <c r="C241" s="3"/>
      <c r="D241" s="3" t="str">
        <f aca="false">IF($B241="","",IFERROR(LOOKUP(2^15,SEARCH(Rules!$A$2:$A$200&amp;"",$B241)/(Rules!$A$2:$A$200&lt;&gt;""),Rules!$B$2:$B$200),"Uncategorized"))</f>
        <v/>
      </c>
      <c r="E241" s="3" t="str">
        <f aca="false">IF($B241="","",IF($C241&gt;=0,"Income","Expense"))</f>
        <v/>
      </c>
      <c r="F241" s="3" t="str">
        <f aca="false">IF($B241="","",IFERROR(LOOKUP(2^15,SEARCH(Rules!$A$2:$A$200&amp;"",$B241)/(Rules!$A$2:$A$200&lt;&gt;""),Rules!$A$2:$A$200),""))</f>
        <v/>
      </c>
      <c r="G241" s="3" t="str">
        <f aca="false">IF($B241="","",IF(D241="Uncategorized","⚠ Review",IF(IFERROR(LOOKUP(2^15,SEARCH(Rules!$A$2:$A$200&amp;"",$B241)/(Rules!$A$2:$A$200&lt;&gt;""),Rules!$C$2:$C$200),"")&lt;&gt;E241,"⚠ Check sign","OK")))</f>
        <v/>
      </c>
    </row>
    <row r="242" customFormat="false" ht="15" hidden="false" customHeight="false" outlineLevel="0" collapsed="false">
      <c r="A242" s="3"/>
      <c r="B242" s="3"/>
      <c r="C242" s="3"/>
      <c r="D242" s="3" t="str">
        <f aca="false">IF($B242="","",IFERROR(LOOKUP(2^15,SEARCH(Rules!$A$2:$A$200&amp;"",$B242)/(Rules!$A$2:$A$200&lt;&gt;""),Rules!$B$2:$B$200),"Uncategorized"))</f>
        <v/>
      </c>
      <c r="E242" s="3" t="str">
        <f aca="false">IF($B242="","",IF($C242&gt;=0,"Income","Expense"))</f>
        <v/>
      </c>
      <c r="F242" s="3" t="str">
        <f aca="false">IF($B242="","",IFERROR(LOOKUP(2^15,SEARCH(Rules!$A$2:$A$200&amp;"",$B242)/(Rules!$A$2:$A$200&lt;&gt;""),Rules!$A$2:$A$200),""))</f>
        <v/>
      </c>
      <c r="G242" s="3" t="str">
        <f aca="false">IF($B242="","",IF(D242="Uncategorized","⚠ Review",IF(IFERROR(LOOKUP(2^15,SEARCH(Rules!$A$2:$A$200&amp;"",$B242)/(Rules!$A$2:$A$200&lt;&gt;""),Rules!$C$2:$C$200),"")&lt;&gt;E242,"⚠ Check sign","OK")))</f>
        <v/>
      </c>
    </row>
    <row r="243" customFormat="false" ht="15" hidden="false" customHeight="false" outlineLevel="0" collapsed="false">
      <c r="A243" s="3"/>
      <c r="B243" s="3"/>
      <c r="C243" s="3"/>
      <c r="D243" s="3" t="str">
        <f aca="false">IF($B243="","",IFERROR(LOOKUP(2^15,SEARCH(Rules!$A$2:$A$200&amp;"",$B243)/(Rules!$A$2:$A$200&lt;&gt;""),Rules!$B$2:$B$200),"Uncategorized"))</f>
        <v/>
      </c>
      <c r="E243" s="3" t="str">
        <f aca="false">IF($B243="","",IF($C243&gt;=0,"Income","Expense"))</f>
        <v/>
      </c>
      <c r="F243" s="3" t="str">
        <f aca="false">IF($B243="","",IFERROR(LOOKUP(2^15,SEARCH(Rules!$A$2:$A$200&amp;"",$B243)/(Rules!$A$2:$A$200&lt;&gt;""),Rules!$A$2:$A$200),""))</f>
        <v/>
      </c>
      <c r="G243" s="3" t="str">
        <f aca="false">IF($B243="","",IF(D243="Uncategorized","⚠ Review",IF(IFERROR(LOOKUP(2^15,SEARCH(Rules!$A$2:$A$200&amp;"",$B243)/(Rules!$A$2:$A$200&lt;&gt;""),Rules!$C$2:$C$200),"")&lt;&gt;E243,"⚠ Check sign","OK")))</f>
        <v/>
      </c>
    </row>
    <row r="244" customFormat="false" ht="15" hidden="false" customHeight="false" outlineLevel="0" collapsed="false">
      <c r="A244" s="3"/>
      <c r="B244" s="3"/>
      <c r="C244" s="3"/>
      <c r="D244" s="3" t="str">
        <f aca="false">IF($B244="","",IFERROR(LOOKUP(2^15,SEARCH(Rules!$A$2:$A$200&amp;"",$B244)/(Rules!$A$2:$A$200&lt;&gt;""),Rules!$B$2:$B$200),"Uncategorized"))</f>
        <v/>
      </c>
      <c r="E244" s="3" t="str">
        <f aca="false">IF($B244="","",IF($C244&gt;=0,"Income","Expense"))</f>
        <v/>
      </c>
      <c r="F244" s="3" t="str">
        <f aca="false">IF($B244="","",IFERROR(LOOKUP(2^15,SEARCH(Rules!$A$2:$A$200&amp;"",$B244)/(Rules!$A$2:$A$200&lt;&gt;""),Rules!$A$2:$A$200),""))</f>
        <v/>
      </c>
      <c r="G244" s="3" t="str">
        <f aca="false">IF($B244="","",IF(D244="Uncategorized","⚠ Review",IF(IFERROR(LOOKUP(2^15,SEARCH(Rules!$A$2:$A$200&amp;"",$B244)/(Rules!$A$2:$A$200&lt;&gt;""),Rules!$C$2:$C$200),"")&lt;&gt;E244,"⚠ Check sign","OK")))</f>
        <v/>
      </c>
    </row>
    <row r="245" customFormat="false" ht="15" hidden="false" customHeight="false" outlineLevel="0" collapsed="false">
      <c r="A245" s="3"/>
      <c r="B245" s="3"/>
      <c r="C245" s="3"/>
      <c r="D245" s="3" t="str">
        <f aca="false">IF($B245="","",IFERROR(LOOKUP(2^15,SEARCH(Rules!$A$2:$A$200&amp;"",$B245)/(Rules!$A$2:$A$200&lt;&gt;""),Rules!$B$2:$B$200),"Uncategorized"))</f>
        <v/>
      </c>
      <c r="E245" s="3" t="str">
        <f aca="false">IF($B245="","",IF($C245&gt;=0,"Income","Expense"))</f>
        <v/>
      </c>
      <c r="F245" s="3" t="str">
        <f aca="false">IF($B245="","",IFERROR(LOOKUP(2^15,SEARCH(Rules!$A$2:$A$200&amp;"",$B245)/(Rules!$A$2:$A$200&lt;&gt;""),Rules!$A$2:$A$200),""))</f>
        <v/>
      </c>
      <c r="G245" s="3" t="str">
        <f aca="false">IF($B245="","",IF(D245="Uncategorized","⚠ Review",IF(IFERROR(LOOKUP(2^15,SEARCH(Rules!$A$2:$A$200&amp;"",$B245)/(Rules!$A$2:$A$200&lt;&gt;""),Rules!$C$2:$C$200),"")&lt;&gt;E245,"⚠ Check sign","OK")))</f>
        <v/>
      </c>
    </row>
    <row r="246" customFormat="false" ht="15" hidden="false" customHeight="false" outlineLevel="0" collapsed="false">
      <c r="A246" s="3"/>
      <c r="B246" s="3"/>
      <c r="C246" s="3"/>
      <c r="D246" s="3" t="str">
        <f aca="false">IF($B246="","",IFERROR(LOOKUP(2^15,SEARCH(Rules!$A$2:$A$200&amp;"",$B246)/(Rules!$A$2:$A$200&lt;&gt;""),Rules!$B$2:$B$200),"Uncategorized"))</f>
        <v/>
      </c>
      <c r="E246" s="3" t="str">
        <f aca="false">IF($B246="","",IF($C246&gt;=0,"Income","Expense"))</f>
        <v/>
      </c>
      <c r="F246" s="3" t="str">
        <f aca="false">IF($B246="","",IFERROR(LOOKUP(2^15,SEARCH(Rules!$A$2:$A$200&amp;"",$B246)/(Rules!$A$2:$A$200&lt;&gt;""),Rules!$A$2:$A$200),""))</f>
        <v/>
      </c>
      <c r="G246" s="3" t="str">
        <f aca="false">IF($B246="","",IF(D246="Uncategorized","⚠ Review",IF(IFERROR(LOOKUP(2^15,SEARCH(Rules!$A$2:$A$200&amp;"",$B246)/(Rules!$A$2:$A$200&lt;&gt;""),Rules!$C$2:$C$200),"")&lt;&gt;E246,"⚠ Check sign","OK")))</f>
        <v/>
      </c>
    </row>
    <row r="247" customFormat="false" ht="15" hidden="false" customHeight="false" outlineLevel="0" collapsed="false">
      <c r="A247" s="3"/>
      <c r="B247" s="3"/>
      <c r="C247" s="3"/>
      <c r="D247" s="3" t="str">
        <f aca="false">IF($B247="","",IFERROR(LOOKUP(2^15,SEARCH(Rules!$A$2:$A$200&amp;"",$B247)/(Rules!$A$2:$A$200&lt;&gt;""),Rules!$B$2:$B$200),"Uncategorized"))</f>
        <v/>
      </c>
      <c r="E247" s="3" t="str">
        <f aca="false">IF($B247="","",IF($C247&gt;=0,"Income","Expense"))</f>
        <v/>
      </c>
      <c r="F247" s="3" t="str">
        <f aca="false">IF($B247="","",IFERROR(LOOKUP(2^15,SEARCH(Rules!$A$2:$A$200&amp;"",$B247)/(Rules!$A$2:$A$200&lt;&gt;""),Rules!$A$2:$A$200),""))</f>
        <v/>
      </c>
      <c r="G247" s="3" t="str">
        <f aca="false">IF($B247="","",IF(D247="Uncategorized","⚠ Review",IF(IFERROR(LOOKUP(2^15,SEARCH(Rules!$A$2:$A$200&amp;"",$B247)/(Rules!$A$2:$A$200&lt;&gt;""),Rules!$C$2:$C$200),"")&lt;&gt;E247,"⚠ Check sign","OK")))</f>
        <v/>
      </c>
    </row>
    <row r="248" customFormat="false" ht="15" hidden="false" customHeight="false" outlineLevel="0" collapsed="false">
      <c r="A248" s="3"/>
      <c r="B248" s="3"/>
      <c r="C248" s="3"/>
      <c r="D248" s="3" t="str">
        <f aca="false">IF($B248="","",IFERROR(LOOKUP(2^15,SEARCH(Rules!$A$2:$A$200&amp;"",$B248)/(Rules!$A$2:$A$200&lt;&gt;""),Rules!$B$2:$B$200),"Uncategorized"))</f>
        <v/>
      </c>
      <c r="E248" s="3" t="str">
        <f aca="false">IF($B248="","",IF($C248&gt;=0,"Income","Expense"))</f>
        <v/>
      </c>
      <c r="F248" s="3" t="str">
        <f aca="false">IF($B248="","",IFERROR(LOOKUP(2^15,SEARCH(Rules!$A$2:$A$200&amp;"",$B248)/(Rules!$A$2:$A$200&lt;&gt;""),Rules!$A$2:$A$200),""))</f>
        <v/>
      </c>
      <c r="G248" s="3" t="str">
        <f aca="false">IF($B248="","",IF(D248="Uncategorized","⚠ Review",IF(IFERROR(LOOKUP(2^15,SEARCH(Rules!$A$2:$A$200&amp;"",$B248)/(Rules!$A$2:$A$200&lt;&gt;""),Rules!$C$2:$C$200),"")&lt;&gt;E248,"⚠ Check sign","OK")))</f>
        <v/>
      </c>
    </row>
    <row r="249" customFormat="false" ht="15" hidden="false" customHeight="false" outlineLevel="0" collapsed="false">
      <c r="A249" s="3"/>
      <c r="B249" s="3"/>
      <c r="C249" s="3"/>
      <c r="D249" s="3" t="str">
        <f aca="false">IF($B249="","",IFERROR(LOOKUP(2^15,SEARCH(Rules!$A$2:$A$200&amp;"",$B249)/(Rules!$A$2:$A$200&lt;&gt;""),Rules!$B$2:$B$200),"Uncategorized"))</f>
        <v/>
      </c>
      <c r="E249" s="3" t="str">
        <f aca="false">IF($B249="","",IF($C249&gt;=0,"Income","Expense"))</f>
        <v/>
      </c>
      <c r="F249" s="3" t="str">
        <f aca="false">IF($B249="","",IFERROR(LOOKUP(2^15,SEARCH(Rules!$A$2:$A$200&amp;"",$B249)/(Rules!$A$2:$A$200&lt;&gt;""),Rules!$A$2:$A$200),""))</f>
        <v/>
      </c>
      <c r="G249" s="3" t="str">
        <f aca="false">IF($B249="","",IF(D249="Uncategorized","⚠ Review",IF(IFERROR(LOOKUP(2^15,SEARCH(Rules!$A$2:$A$200&amp;"",$B249)/(Rules!$A$2:$A$200&lt;&gt;""),Rules!$C$2:$C$200),"")&lt;&gt;E249,"⚠ Check sign","OK")))</f>
        <v/>
      </c>
    </row>
    <row r="250" customFormat="false" ht="15" hidden="false" customHeight="false" outlineLevel="0" collapsed="false">
      <c r="A250" s="3"/>
      <c r="B250" s="3"/>
      <c r="C250" s="3"/>
      <c r="D250" s="3" t="str">
        <f aca="false">IF($B250="","",IFERROR(LOOKUP(2^15,SEARCH(Rules!$A$2:$A$200&amp;"",$B250)/(Rules!$A$2:$A$200&lt;&gt;""),Rules!$B$2:$B$200),"Uncategorized"))</f>
        <v/>
      </c>
      <c r="E250" s="3" t="str">
        <f aca="false">IF($B250="","",IF($C250&gt;=0,"Income","Expense"))</f>
        <v/>
      </c>
      <c r="F250" s="3" t="str">
        <f aca="false">IF($B250="","",IFERROR(LOOKUP(2^15,SEARCH(Rules!$A$2:$A$200&amp;"",$B250)/(Rules!$A$2:$A$200&lt;&gt;""),Rules!$A$2:$A$200),""))</f>
        <v/>
      </c>
      <c r="G250" s="3" t="str">
        <f aca="false">IF($B250="","",IF(D250="Uncategorized","⚠ Review",IF(IFERROR(LOOKUP(2^15,SEARCH(Rules!$A$2:$A$200&amp;"",$B250)/(Rules!$A$2:$A$200&lt;&gt;""),Rules!$C$2:$C$200),"")&lt;&gt;E250,"⚠ Check sign","OK")))</f>
        <v/>
      </c>
    </row>
    <row r="251" customFormat="false" ht="15" hidden="false" customHeight="false" outlineLevel="0" collapsed="false">
      <c r="A251" s="3"/>
      <c r="B251" s="3"/>
      <c r="C251" s="3"/>
      <c r="D251" s="3" t="str">
        <f aca="false">IF($B251="","",IFERROR(LOOKUP(2^15,SEARCH(Rules!$A$2:$A$200&amp;"",$B251)/(Rules!$A$2:$A$200&lt;&gt;""),Rules!$B$2:$B$200),"Uncategorized"))</f>
        <v/>
      </c>
      <c r="E251" s="3" t="str">
        <f aca="false">IF($B251="","",IF($C251&gt;=0,"Income","Expense"))</f>
        <v/>
      </c>
      <c r="F251" s="3" t="str">
        <f aca="false">IF($B251="","",IFERROR(LOOKUP(2^15,SEARCH(Rules!$A$2:$A$200&amp;"",$B251)/(Rules!$A$2:$A$200&lt;&gt;""),Rules!$A$2:$A$200),""))</f>
        <v/>
      </c>
      <c r="G251" s="3" t="str">
        <f aca="false">IF($B251="","",IF(D251="Uncategorized","⚠ Review",IF(IFERROR(LOOKUP(2^15,SEARCH(Rules!$A$2:$A$200&amp;"",$B251)/(Rules!$A$2:$A$200&lt;&gt;""),Rules!$C$2:$C$200),"")&lt;&gt;E251,"⚠ Check sign","OK")))</f>
        <v/>
      </c>
    </row>
    <row r="252" customFormat="false" ht="15" hidden="false" customHeight="false" outlineLevel="0" collapsed="false">
      <c r="A252" s="3"/>
      <c r="B252" s="3"/>
      <c r="C252" s="3"/>
      <c r="D252" s="3" t="str">
        <f aca="false">IF($B252="","",IFERROR(LOOKUP(2^15,SEARCH(Rules!$A$2:$A$200&amp;"",$B252)/(Rules!$A$2:$A$200&lt;&gt;""),Rules!$B$2:$B$200),"Uncategorized"))</f>
        <v/>
      </c>
      <c r="E252" s="3" t="str">
        <f aca="false">IF($B252="","",IF($C252&gt;=0,"Income","Expense"))</f>
        <v/>
      </c>
      <c r="F252" s="3" t="str">
        <f aca="false">IF($B252="","",IFERROR(LOOKUP(2^15,SEARCH(Rules!$A$2:$A$200&amp;"",$B252)/(Rules!$A$2:$A$200&lt;&gt;""),Rules!$A$2:$A$200),""))</f>
        <v/>
      </c>
      <c r="G252" s="3" t="str">
        <f aca="false">IF($B252="","",IF(D252="Uncategorized","⚠ Review",IF(IFERROR(LOOKUP(2^15,SEARCH(Rules!$A$2:$A$200&amp;"",$B252)/(Rules!$A$2:$A$200&lt;&gt;""),Rules!$C$2:$C$200),"")&lt;&gt;E252,"⚠ Check sign","OK")))</f>
        <v/>
      </c>
    </row>
    <row r="253" customFormat="false" ht="15" hidden="false" customHeight="false" outlineLevel="0" collapsed="false">
      <c r="A253" s="3"/>
      <c r="B253" s="3"/>
      <c r="C253" s="3"/>
      <c r="D253" s="3" t="str">
        <f aca="false">IF($B253="","",IFERROR(LOOKUP(2^15,SEARCH(Rules!$A$2:$A$200&amp;"",$B253)/(Rules!$A$2:$A$200&lt;&gt;""),Rules!$B$2:$B$200),"Uncategorized"))</f>
        <v/>
      </c>
      <c r="E253" s="3" t="str">
        <f aca="false">IF($B253="","",IF($C253&gt;=0,"Income","Expense"))</f>
        <v/>
      </c>
      <c r="F253" s="3" t="str">
        <f aca="false">IF($B253="","",IFERROR(LOOKUP(2^15,SEARCH(Rules!$A$2:$A$200&amp;"",$B253)/(Rules!$A$2:$A$200&lt;&gt;""),Rules!$A$2:$A$200),""))</f>
        <v/>
      </c>
      <c r="G253" s="3" t="str">
        <f aca="false">IF($B253="","",IF(D253="Uncategorized","⚠ Review",IF(IFERROR(LOOKUP(2^15,SEARCH(Rules!$A$2:$A$200&amp;"",$B253)/(Rules!$A$2:$A$200&lt;&gt;""),Rules!$C$2:$C$200),"")&lt;&gt;E253,"⚠ Check sign","OK")))</f>
        <v/>
      </c>
    </row>
    <row r="254" customFormat="false" ht="15" hidden="false" customHeight="false" outlineLevel="0" collapsed="false">
      <c r="A254" s="3"/>
      <c r="B254" s="3"/>
      <c r="C254" s="3"/>
      <c r="D254" s="3" t="str">
        <f aca="false">IF($B254="","",IFERROR(LOOKUP(2^15,SEARCH(Rules!$A$2:$A$200&amp;"",$B254)/(Rules!$A$2:$A$200&lt;&gt;""),Rules!$B$2:$B$200),"Uncategorized"))</f>
        <v/>
      </c>
      <c r="E254" s="3" t="str">
        <f aca="false">IF($B254="","",IF($C254&gt;=0,"Income","Expense"))</f>
        <v/>
      </c>
      <c r="F254" s="3" t="str">
        <f aca="false">IF($B254="","",IFERROR(LOOKUP(2^15,SEARCH(Rules!$A$2:$A$200&amp;"",$B254)/(Rules!$A$2:$A$200&lt;&gt;""),Rules!$A$2:$A$200),""))</f>
        <v/>
      </c>
      <c r="G254" s="3" t="str">
        <f aca="false">IF($B254="","",IF(D254="Uncategorized","⚠ Review",IF(IFERROR(LOOKUP(2^15,SEARCH(Rules!$A$2:$A$200&amp;"",$B254)/(Rules!$A$2:$A$200&lt;&gt;""),Rules!$C$2:$C$200),"")&lt;&gt;E254,"⚠ Check sign","OK")))</f>
        <v/>
      </c>
    </row>
    <row r="255" customFormat="false" ht="15" hidden="false" customHeight="false" outlineLevel="0" collapsed="false">
      <c r="A255" s="3"/>
      <c r="B255" s="3"/>
      <c r="C255" s="3"/>
      <c r="D255" s="3" t="str">
        <f aca="false">IF($B255="","",IFERROR(LOOKUP(2^15,SEARCH(Rules!$A$2:$A$200&amp;"",$B255)/(Rules!$A$2:$A$200&lt;&gt;""),Rules!$B$2:$B$200),"Uncategorized"))</f>
        <v/>
      </c>
      <c r="E255" s="3" t="str">
        <f aca="false">IF($B255="","",IF($C255&gt;=0,"Income","Expense"))</f>
        <v/>
      </c>
      <c r="F255" s="3" t="str">
        <f aca="false">IF($B255="","",IFERROR(LOOKUP(2^15,SEARCH(Rules!$A$2:$A$200&amp;"",$B255)/(Rules!$A$2:$A$200&lt;&gt;""),Rules!$A$2:$A$200),""))</f>
        <v/>
      </c>
      <c r="G255" s="3" t="str">
        <f aca="false">IF($B255="","",IF(D255="Uncategorized","⚠ Review",IF(IFERROR(LOOKUP(2^15,SEARCH(Rules!$A$2:$A$200&amp;"",$B255)/(Rules!$A$2:$A$200&lt;&gt;""),Rules!$C$2:$C$200),"")&lt;&gt;E255,"⚠ Check sign","OK")))</f>
        <v/>
      </c>
    </row>
    <row r="256" customFormat="false" ht="15" hidden="false" customHeight="false" outlineLevel="0" collapsed="false">
      <c r="A256" s="3"/>
      <c r="B256" s="3"/>
      <c r="C256" s="3"/>
      <c r="D256" s="3" t="str">
        <f aca="false">IF($B256="","",IFERROR(LOOKUP(2^15,SEARCH(Rules!$A$2:$A$200&amp;"",$B256)/(Rules!$A$2:$A$200&lt;&gt;""),Rules!$B$2:$B$200),"Uncategorized"))</f>
        <v/>
      </c>
      <c r="E256" s="3" t="str">
        <f aca="false">IF($B256="","",IF($C256&gt;=0,"Income","Expense"))</f>
        <v/>
      </c>
      <c r="F256" s="3" t="str">
        <f aca="false">IF($B256="","",IFERROR(LOOKUP(2^15,SEARCH(Rules!$A$2:$A$200&amp;"",$B256)/(Rules!$A$2:$A$200&lt;&gt;""),Rules!$A$2:$A$200),""))</f>
        <v/>
      </c>
      <c r="G256" s="3" t="str">
        <f aca="false">IF($B256="","",IF(D256="Uncategorized","⚠ Review",IF(IFERROR(LOOKUP(2^15,SEARCH(Rules!$A$2:$A$200&amp;"",$B256)/(Rules!$A$2:$A$200&lt;&gt;""),Rules!$C$2:$C$200),"")&lt;&gt;E256,"⚠ Check sign","OK")))</f>
        <v/>
      </c>
    </row>
    <row r="257" customFormat="false" ht="15" hidden="false" customHeight="false" outlineLevel="0" collapsed="false">
      <c r="A257" s="3"/>
      <c r="B257" s="3"/>
      <c r="C257" s="3"/>
      <c r="D257" s="3" t="str">
        <f aca="false">IF($B257="","",IFERROR(LOOKUP(2^15,SEARCH(Rules!$A$2:$A$200&amp;"",$B257)/(Rules!$A$2:$A$200&lt;&gt;""),Rules!$B$2:$B$200),"Uncategorized"))</f>
        <v/>
      </c>
      <c r="E257" s="3" t="str">
        <f aca="false">IF($B257="","",IF($C257&gt;=0,"Income","Expense"))</f>
        <v/>
      </c>
      <c r="F257" s="3" t="str">
        <f aca="false">IF($B257="","",IFERROR(LOOKUP(2^15,SEARCH(Rules!$A$2:$A$200&amp;"",$B257)/(Rules!$A$2:$A$200&lt;&gt;""),Rules!$A$2:$A$200),""))</f>
        <v/>
      </c>
      <c r="G257" s="3" t="str">
        <f aca="false">IF($B257="","",IF(D257="Uncategorized","⚠ Review",IF(IFERROR(LOOKUP(2^15,SEARCH(Rules!$A$2:$A$200&amp;"",$B257)/(Rules!$A$2:$A$200&lt;&gt;""),Rules!$C$2:$C$200),"")&lt;&gt;E257,"⚠ Check sign","OK")))</f>
        <v/>
      </c>
    </row>
    <row r="258" customFormat="false" ht="15" hidden="false" customHeight="false" outlineLevel="0" collapsed="false">
      <c r="A258" s="3"/>
      <c r="B258" s="3"/>
      <c r="C258" s="3"/>
      <c r="D258" s="3" t="str">
        <f aca="false">IF($B258="","",IFERROR(LOOKUP(2^15,SEARCH(Rules!$A$2:$A$200&amp;"",$B258)/(Rules!$A$2:$A$200&lt;&gt;""),Rules!$B$2:$B$200),"Uncategorized"))</f>
        <v/>
      </c>
      <c r="E258" s="3" t="str">
        <f aca="false">IF($B258="","",IF($C258&gt;=0,"Income","Expense"))</f>
        <v/>
      </c>
      <c r="F258" s="3" t="str">
        <f aca="false">IF($B258="","",IFERROR(LOOKUP(2^15,SEARCH(Rules!$A$2:$A$200&amp;"",$B258)/(Rules!$A$2:$A$200&lt;&gt;""),Rules!$A$2:$A$200),""))</f>
        <v/>
      </c>
      <c r="G258" s="3" t="str">
        <f aca="false">IF($B258="","",IF(D258="Uncategorized","⚠ Review",IF(IFERROR(LOOKUP(2^15,SEARCH(Rules!$A$2:$A$200&amp;"",$B258)/(Rules!$A$2:$A$200&lt;&gt;""),Rules!$C$2:$C$200),"")&lt;&gt;E258,"⚠ Check sign","OK")))</f>
        <v/>
      </c>
    </row>
    <row r="259" customFormat="false" ht="15" hidden="false" customHeight="false" outlineLevel="0" collapsed="false">
      <c r="A259" s="3"/>
      <c r="B259" s="3"/>
      <c r="C259" s="3"/>
      <c r="D259" s="3" t="str">
        <f aca="false">IF($B259="","",IFERROR(LOOKUP(2^15,SEARCH(Rules!$A$2:$A$200&amp;"",$B259)/(Rules!$A$2:$A$200&lt;&gt;""),Rules!$B$2:$B$200),"Uncategorized"))</f>
        <v/>
      </c>
      <c r="E259" s="3" t="str">
        <f aca="false">IF($B259="","",IF($C259&gt;=0,"Income","Expense"))</f>
        <v/>
      </c>
      <c r="F259" s="3" t="str">
        <f aca="false">IF($B259="","",IFERROR(LOOKUP(2^15,SEARCH(Rules!$A$2:$A$200&amp;"",$B259)/(Rules!$A$2:$A$200&lt;&gt;""),Rules!$A$2:$A$200),""))</f>
        <v/>
      </c>
      <c r="G259" s="3" t="str">
        <f aca="false">IF($B259="","",IF(D259="Uncategorized","⚠ Review",IF(IFERROR(LOOKUP(2^15,SEARCH(Rules!$A$2:$A$200&amp;"",$B259)/(Rules!$A$2:$A$200&lt;&gt;""),Rules!$C$2:$C$200),"")&lt;&gt;E259,"⚠ Check sign","OK")))</f>
        <v/>
      </c>
    </row>
    <row r="260" customFormat="false" ht="15" hidden="false" customHeight="false" outlineLevel="0" collapsed="false">
      <c r="A260" s="3"/>
      <c r="B260" s="3"/>
      <c r="C260" s="3"/>
      <c r="D260" s="3" t="str">
        <f aca="false">IF($B260="","",IFERROR(LOOKUP(2^15,SEARCH(Rules!$A$2:$A$200&amp;"",$B260)/(Rules!$A$2:$A$200&lt;&gt;""),Rules!$B$2:$B$200),"Uncategorized"))</f>
        <v/>
      </c>
      <c r="E260" s="3" t="str">
        <f aca="false">IF($B260="","",IF($C260&gt;=0,"Income","Expense"))</f>
        <v/>
      </c>
      <c r="F260" s="3" t="str">
        <f aca="false">IF($B260="","",IFERROR(LOOKUP(2^15,SEARCH(Rules!$A$2:$A$200&amp;"",$B260)/(Rules!$A$2:$A$200&lt;&gt;""),Rules!$A$2:$A$200),""))</f>
        <v/>
      </c>
      <c r="G260" s="3" t="str">
        <f aca="false">IF($B260="","",IF(D260="Uncategorized","⚠ Review",IF(IFERROR(LOOKUP(2^15,SEARCH(Rules!$A$2:$A$200&amp;"",$B260)/(Rules!$A$2:$A$200&lt;&gt;""),Rules!$C$2:$C$200),"")&lt;&gt;E260,"⚠ Check sign","OK")))</f>
        <v/>
      </c>
    </row>
    <row r="261" customFormat="false" ht="15" hidden="false" customHeight="false" outlineLevel="0" collapsed="false">
      <c r="A261" s="3"/>
      <c r="B261" s="3"/>
      <c r="C261" s="3"/>
      <c r="D261" s="3" t="str">
        <f aca="false">IF($B261="","",IFERROR(LOOKUP(2^15,SEARCH(Rules!$A$2:$A$200&amp;"",$B261)/(Rules!$A$2:$A$200&lt;&gt;""),Rules!$B$2:$B$200),"Uncategorized"))</f>
        <v/>
      </c>
      <c r="E261" s="3" t="str">
        <f aca="false">IF($B261="","",IF($C261&gt;=0,"Income","Expense"))</f>
        <v/>
      </c>
      <c r="F261" s="3" t="str">
        <f aca="false">IF($B261="","",IFERROR(LOOKUP(2^15,SEARCH(Rules!$A$2:$A$200&amp;"",$B261)/(Rules!$A$2:$A$200&lt;&gt;""),Rules!$A$2:$A$200),""))</f>
        <v/>
      </c>
      <c r="G261" s="3" t="str">
        <f aca="false">IF($B261="","",IF(D261="Uncategorized","⚠ Review",IF(IFERROR(LOOKUP(2^15,SEARCH(Rules!$A$2:$A$200&amp;"",$B261)/(Rules!$A$2:$A$200&lt;&gt;""),Rules!$C$2:$C$200),"")&lt;&gt;E261,"⚠ Check sign","OK")))</f>
        <v/>
      </c>
    </row>
    <row r="262" customFormat="false" ht="15" hidden="false" customHeight="false" outlineLevel="0" collapsed="false">
      <c r="A262" s="3"/>
      <c r="B262" s="3"/>
      <c r="C262" s="3"/>
      <c r="D262" s="3" t="str">
        <f aca="false">IF($B262="","",IFERROR(LOOKUP(2^15,SEARCH(Rules!$A$2:$A$200&amp;"",$B262)/(Rules!$A$2:$A$200&lt;&gt;""),Rules!$B$2:$B$200),"Uncategorized"))</f>
        <v/>
      </c>
      <c r="E262" s="3" t="str">
        <f aca="false">IF($B262="","",IF($C262&gt;=0,"Income","Expense"))</f>
        <v/>
      </c>
      <c r="F262" s="3" t="str">
        <f aca="false">IF($B262="","",IFERROR(LOOKUP(2^15,SEARCH(Rules!$A$2:$A$200&amp;"",$B262)/(Rules!$A$2:$A$200&lt;&gt;""),Rules!$A$2:$A$200),""))</f>
        <v/>
      </c>
      <c r="G262" s="3" t="str">
        <f aca="false">IF($B262="","",IF(D262="Uncategorized","⚠ Review",IF(IFERROR(LOOKUP(2^15,SEARCH(Rules!$A$2:$A$200&amp;"",$B262)/(Rules!$A$2:$A$200&lt;&gt;""),Rules!$C$2:$C$200),"")&lt;&gt;E262,"⚠ Check sign","OK")))</f>
        <v/>
      </c>
    </row>
    <row r="263" customFormat="false" ht="15" hidden="false" customHeight="false" outlineLevel="0" collapsed="false">
      <c r="A263" s="3"/>
      <c r="B263" s="3"/>
      <c r="C263" s="3"/>
      <c r="D263" s="3" t="str">
        <f aca="false">IF($B263="","",IFERROR(LOOKUP(2^15,SEARCH(Rules!$A$2:$A$200&amp;"",$B263)/(Rules!$A$2:$A$200&lt;&gt;""),Rules!$B$2:$B$200),"Uncategorized"))</f>
        <v/>
      </c>
      <c r="E263" s="3" t="str">
        <f aca="false">IF($B263="","",IF($C263&gt;=0,"Income","Expense"))</f>
        <v/>
      </c>
      <c r="F263" s="3" t="str">
        <f aca="false">IF($B263="","",IFERROR(LOOKUP(2^15,SEARCH(Rules!$A$2:$A$200&amp;"",$B263)/(Rules!$A$2:$A$200&lt;&gt;""),Rules!$A$2:$A$200),""))</f>
        <v/>
      </c>
      <c r="G263" s="3" t="str">
        <f aca="false">IF($B263="","",IF(D263="Uncategorized","⚠ Review",IF(IFERROR(LOOKUP(2^15,SEARCH(Rules!$A$2:$A$200&amp;"",$B263)/(Rules!$A$2:$A$200&lt;&gt;""),Rules!$C$2:$C$200),"")&lt;&gt;E263,"⚠ Check sign","OK")))</f>
        <v/>
      </c>
    </row>
    <row r="264" customFormat="false" ht="15" hidden="false" customHeight="false" outlineLevel="0" collapsed="false">
      <c r="A264" s="3"/>
      <c r="B264" s="3"/>
      <c r="C264" s="3"/>
      <c r="D264" s="3" t="str">
        <f aca="false">IF($B264="","",IFERROR(LOOKUP(2^15,SEARCH(Rules!$A$2:$A$200&amp;"",$B264)/(Rules!$A$2:$A$200&lt;&gt;""),Rules!$B$2:$B$200),"Uncategorized"))</f>
        <v/>
      </c>
      <c r="E264" s="3" t="str">
        <f aca="false">IF($B264="","",IF($C264&gt;=0,"Income","Expense"))</f>
        <v/>
      </c>
      <c r="F264" s="3" t="str">
        <f aca="false">IF($B264="","",IFERROR(LOOKUP(2^15,SEARCH(Rules!$A$2:$A$200&amp;"",$B264)/(Rules!$A$2:$A$200&lt;&gt;""),Rules!$A$2:$A$200),""))</f>
        <v/>
      </c>
      <c r="G264" s="3" t="str">
        <f aca="false">IF($B264="","",IF(D264="Uncategorized","⚠ Review",IF(IFERROR(LOOKUP(2^15,SEARCH(Rules!$A$2:$A$200&amp;"",$B264)/(Rules!$A$2:$A$200&lt;&gt;""),Rules!$C$2:$C$200),"")&lt;&gt;E264,"⚠ Check sign","OK")))</f>
        <v/>
      </c>
    </row>
    <row r="265" customFormat="false" ht="15" hidden="false" customHeight="false" outlineLevel="0" collapsed="false">
      <c r="A265" s="3"/>
      <c r="B265" s="3"/>
      <c r="C265" s="3"/>
      <c r="D265" s="3" t="str">
        <f aca="false">IF($B265="","",IFERROR(LOOKUP(2^15,SEARCH(Rules!$A$2:$A$200&amp;"",$B265)/(Rules!$A$2:$A$200&lt;&gt;""),Rules!$B$2:$B$200),"Uncategorized"))</f>
        <v/>
      </c>
      <c r="E265" s="3" t="str">
        <f aca="false">IF($B265="","",IF($C265&gt;=0,"Income","Expense"))</f>
        <v/>
      </c>
      <c r="F265" s="3" t="str">
        <f aca="false">IF($B265="","",IFERROR(LOOKUP(2^15,SEARCH(Rules!$A$2:$A$200&amp;"",$B265)/(Rules!$A$2:$A$200&lt;&gt;""),Rules!$A$2:$A$200),""))</f>
        <v/>
      </c>
      <c r="G265" s="3" t="str">
        <f aca="false">IF($B265="","",IF(D265="Uncategorized","⚠ Review",IF(IFERROR(LOOKUP(2^15,SEARCH(Rules!$A$2:$A$200&amp;"",$B265)/(Rules!$A$2:$A$200&lt;&gt;""),Rules!$C$2:$C$200),"")&lt;&gt;E265,"⚠ Check sign","OK")))</f>
        <v/>
      </c>
    </row>
    <row r="266" customFormat="false" ht="15" hidden="false" customHeight="false" outlineLevel="0" collapsed="false">
      <c r="A266" s="3"/>
      <c r="B266" s="3"/>
      <c r="C266" s="3"/>
      <c r="D266" s="3" t="str">
        <f aca="false">IF($B266="","",IFERROR(LOOKUP(2^15,SEARCH(Rules!$A$2:$A$200&amp;"",$B266)/(Rules!$A$2:$A$200&lt;&gt;""),Rules!$B$2:$B$200),"Uncategorized"))</f>
        <v/>
      </c>
      <c r="E266" s="3" t="str">
        <f aca="false">IF($B266="","",IF($C266&gt;=0,"Income","Expense"))</f>
        <v/>
      </c>
      <c r="F266" s="3" t="str">
        <f aca="false">IF($B266="","",IFERROR(LOOKUP(2^15,SEARCH(Rules!$A$2:$A$200&amp;"",$B266)/(Rules!$A$2:$A$200&lt;&gt;""),Rules!$A$2:$A$200),""))</f>
        <v/>
      </c>
      <c r="G266" s="3" t="str">
        <f aca="false">IF($B266="","",IF(D266="Uncategorized","⚠ Review",IF(IFERROR(LOOKUP(2^15,SEARCH(Rules!$A$2:$A$200&amp;"",$B266)/(Rules!$A$2:$A$200&lt;&gt;""),Rules!$C$2:$C$200),"")&lt;&gt;E266,"⚠ Check sign","OK")))</f>
        <v/>
      </c>
    </row>
    <row r="267" customFormat="false" ht="15" hidden="false" customHeight="false" outlineLevel="0" collapsed="false">
      <c r="A267" s="3"/>
      <c r="B267" s="3"/>
      <c r="C267" s="3"/>
      <c r="D267" s="3" t="str">
        <f aca="false">IF($B267="","",IFERROR(LOOKUP(2^15,SEARCH(Rules!$A$2:$A$200&amp;"",$B267)/(Rules!$A$2:$A$200&lt;&gt;""),Rules!$B$2:$B$200),"Uncategorized"))</f>
        <v/>
      </c>
      <c r="E267" s="3" t="str">
        <f aca="false">IF($B267="","",IF($C267&gt;=0,"Income","Expense"))</f>
        <v/>
      </c>
      <c r="F267" s="3" t="str">
        <f aca="false">IF($B267="","",IFERROR(LOOKUP(2^15,SEARCH(Rules!$A$2:$A$200&amp;"",$B267)/(Rules!$A$2:$A$200&lt;&gt;""),Rules!$A$2:$A$200),""))</f>
        <v/>
      </c>
      <c r="G267" s="3" t="str">
        <f aca="false">IF($B267="","",IF(D267="Uncategorized","⚠ Review",IF(IFERROR(LOOKUP(2^15,SEARCH(Rules!$A$2:$A$200&amp;"",$B267)/(Rules!$A$2:$A$200&lt;&gt;""),Rules!$C$2:$C$200),"")&lt;&gt;E267,"⚠ Check sign","OK")))</f>
        <v/>
      </c>
    </row>
    <row r="268" customFormat="false" ht="15" hidden="false" customHeight="false" outlineLevel="0" collapsed="false">
      <c r="A268" s="3"/>
      <c r="B268" s="3"/>
      <c r="C268" s="3"/>
      <c r="D268" s="3" t="str">
        <f aca="false">IF($B268="","",IFERROR(LOOKUP(2^15,SEARCH(Rules!$A$2:$A$200&amp;"",$B268)/(Rules!$A$2:$A$200&lt;&gt;""),Rules!$B$2:$B$200),"Uncategorized"))</f>
        <v/>
      </c>
      <c r="E268" s="3" t="str">
        <f aca="false">IF($B268="","",IF($C268&gt;=0,"Income","Expense"))</f>
        <v/>
      </c>
      <c r="F268" s="3" t="str">
        <f aca="false">IF($B268="","",IFERROR(LOOKUP(2^15,SEARCH(Rules!$A$2:$A$200&amp;"",$B268)/(Rules!$A$2:$A$200&lt;&gt;""),Rules!$A$2:$A$200),""))</f>
        <v/>
      </c>
      <c r="G268" s="3" t="str">
        <f aca="false">IF($B268="","",IF(D268="Uncategorized","⚠ Review",IF(IFERROR(LOOKUP(2^15,SEARCH(Rules!$A$2:$A$200&amp;"",$B268)/(Rules!$A$2:$A$200&lt;&gt;""),Rules!$C$2:$C$200),"")&lt;&gt;E268,"⚠ Check sign","OK")))</f>
        <v/>
      </c>
    </row>
    <row r="269" customFormat="false" ht="15" hidden="false" customHeight="false" outlineLevel="0" collapsed="false">
      <c r="A269" s="3"/>
      <c r="B269" s="3"/>
      <c r="C269" s="3"/>
      <c r="D269" s="3" t="str">
        <f aca="false">IF($B269="","",IFERROR(LOOKUP(2^15,SEARCH(Rules!$A$2:$A$200&amp;"",$B269)/(Rules!$A$2:$A$200&lt;&gt;""),Rules!$B$2:$B$200),"Uncategorized"))</f>
        <v/>
      </c>
      <c r="E269" s="3" t="str">
        <f aca="false">IF($B269="","",IF($C269&gt;=0,"Income","Expense"))</f>
        <v/>
      </c>
      <c r="F269" s="3" t="str">
        <f aca="false">IF($B269="","",IFERROR(LOOKUP(2^15,SEARCH(Rules!$A$2:$A$200&amp;"",$B269)/(Rules!$A$2:$A$200&lt;&gt;""),Rules!$A$2:$A$200),""))</f>
        <v/>
      </c>
      <c r="G269" s="3" t="str">
        <f aca="false">IF($B269="","",IF(D269="Uncategorized","⚠ Review",IF(IFERROR(LOOKUP(2^15,SEARCH(Rules!$A$2:$A$200&amp;"",$B269)/(Rules!$A$2:$A$200&lt;&gt;""),Rules!$C$2:$C$200),"")&lt;&gt;E269,"⚠ Check sign","OK")))</f>
        <v/>
      </c>
    </row>
    <row r="270" customFormat="false" ht="15" hidden="false" customHeight="false" outlineLevel="0" collapsed="false">
      <c r="A270" s="3"/>
      <c r="B270" s="3"/>
      <c r="C270" s="3"/>
      <c r="D270" s="3" t="str">
        <f aca="false">IF($B270="","",IFERROR(LOOKUP(2^15,SEARCH(Rules!$A$2:$A$200&amp;"",$B270)/(Rules!$A$2:$A$200&lt;&gt;""),Rules!$B$2:$B$200),"Uncategorized"))</f>
        <v/>
      </c>
      <c r="E270" s="3" t="str">
        <f aca="false">IF($B270="","",IF($C270&gt;=0,"Income","Expense"))</f>
        <v/>
      </c>
      <c r="F270" s="3" t="str">
        <f aca="false">IF($B270="","",IFERROR(LOOKUP(2^15,SEARCH(Rules!$A$2:$A$200&amp;"",$B270)/(Rules!$A$2:$A$200&lt;&gt;""),Rules!$A$2:$A$200),""))</f>
        <v/>
      </c>
      <c r="G270" s="3" t="str">
        <f aca="false">IF($B270="","",IF(D270="Uncategorized","⚠ Review",IF(IFERROR(LOOKUP(2^15,SEARCH(Rules!$A$2:$A$200&amp;"",$B270)/(Rules!$A$2:$A$200&lt;&gt;""),Rules!$C$2:$C$200),"")&lt;&gt;E270,"⚠ Check sign","OK")))</f>
        <v/>
      </c>
    </row>
    <row r="271" customFormat="false" ht="15" hidden="false" customHeight="false" outlineLevel="0" collapsed="false">
      <c r="A271" s="3"/>
      <c r="B271" s="3"/>
      <c r="C271" s="3"/>
      <c r="D271" s="3" t="str">
        <f aca="false">IF($B271="","",IFERROR(LOOKUP(2^15,SEARCH(Rules!$A$2:$A$200&amp;"",$B271)/(Rules!$A$2:$A$200&lt;&gt;""),Rules!$B$2:$B$200),"Uncategorized"))</f>
        <v/>
      </c>
      <c r="E271" s="3" t="str">
        <f aca="false">IF($B271="","",IF($C271&gt;=0,"Income","Expense"))</f>
        <v/>
      </c>
      <c r="F271" s="3" t="str">
        <f aca="false">IF($B271="","",IFERROR(LOOKUP(2^15,SEARCH(Rules!$A$2:$A$200&amp;"",$B271)/(Rules!$A$2:$A$200&lt;&gt;""),Rules!$A$2:$A$200),""))</f>
        <v/>
      </c>
      <c r="G271" s="3" t="str">
        <f aca="false">IF($B271="","",IF(D271="Uncategorized","⚠ Review",IF(IFERROR(LOOKUP(2^15,SEARCH(Rules!$A$2:$A$200&amp;"",$B271)/(Rules!$A$2:$A$200&lt;&gt;""),Rules!$C$2:$C$200),"")&lt;&gt;E271,"⚠ Check sign","OK")))</f>
        <v/>
      </c>
    </row>
    <row r="272" customFormat="false" ht="15" hidden="false" customHeight="false" outlineLevel="0" collapsed="false">
      <c r="A272" s="3"/>
      <c r="B272" s="3"/>
      <c r="C272" s="3"/>
      <c r="D272" s="3" t="str">
        <f aca="false">IF($B272="","",IFERROR(LOOKUP(2^15,SEARCH(Rules!$A$2:$A$200&amp;"",$B272)/(Rules!$A$2:$A$200&lt;&gt;""),Rules!$B$2:$B$200),"Uncategorized"))</f>
        <v/>
      </c>
      <c r="E272" s="3" t="str">
        <f aca="false">IF($B272="","",IF($C272&gt;=0,"Income","Expense"))</f>
        <v/>
      </c>
      <c r="F272" s="3" t="str">
        <f aca="false">IF($B272="","",IFERROR(LOOKUP(2^15,SEARCH(Rules!$A$2:$A$200&amp;"",$B272)/(Rules!$A$2:$A$200&lt;&gt;""),Rules!$A$2:$A$200),""))</f>
        <v/>
      </c>
      <c r="G272" s="3" t="str">
        <f aca="false">IF($B272="","",IF(D272="Uncategorized","⚠ Review",IF(IFERROR(LOOKUP(2^15,SEARCH(Rules!$A$2:$A$200&amp;"",$B272)/(Rules!$A$2:$A$200&lt;&gt;""),Rules!$C$2:$C$200),"")&lt;&gt;E272,"⚠ Check sign","OK")))</f>
        <v/>
      </c>
    </row>
    <row r="273" customFormat="false" ht="15" hidden="false" customHeight="false" outlineLevel="0" collapsed="false">
      <c r="A273" s="3"/>
      <c r="B273" s="3"/>
      <c r="C273" s="3"/>
      <c r="D273" s="3" t="str">
        <f aca="false">IF($B273="","",IFERROR(LOOKUP(2^15,SEARCH(Rules!$A$2:$A$200&amp;"",$B273)/(Rules!$A$2:$A$200&lt;&gt;""),Rules!$B$2:$B$200),"Uncategorized"))</f>
        <v/>
      </c>
      <c r="E273" s="3" t="str">
        <f aca="false">IF($B273="","",IF($C273&gt;=0,"Income","Expense"))</f>
        <v/>
      </c>
      <c r="F273" s="3" t="str">
        <f aca="false">IF($B273="","",IFERROR(LOOKUP(2^15,SEARCH(Rules!$A$2:$A$200&amp;"",$B273)/(Rules!$A$2:$A$200&lt;&gt;""),Rules!$A$2:$A$200),""))</f>
        <v/>
      </c>
      <c r="G273" s="3" t="str">
        <f aca="false">IF($B273="","",IF(D273="Uncategorized","⚠ Review",IF(IFERROR(LOOKUP(2^15,SEARCH(Rules!$A$2:$A$200&amp;"",$B273)/(Rules!$A$2:$A$200&lt;&gt;""),Rules!$C$2:$C$200),"")&lt;&gt;E273,"⚠ Check sign","OK")))</f>
        <v/>
      </c>
    </row>
    <row r="274" customFormat="false" ht="15" hidden="false" customHeight="false" outlineLevel="0" collapsed="false">
      <c r="A274" s="3"/>
      <c r="B274" s="3"/>
      <c r="C274" s="3"/>
      <c r="D274" s="3" t="str">
        <f aca="false">IF($B274="","",IFERROR(LOOKUP(2^15,SEARCH(Rules!$A$2:$A$200&amp;"",$B274)/(Rules!$A$2:$A$200&lt;&gt;""),Rules!$B$2:$B$200),"Uncategorized"))</f>
        <v/>
      </c>
      <c r="E274" s="3" t="str">
        <f aca="false">IF($B274="","",IF($C274&gt;=0,"Income","Expense"))</f>
        <v/>
      </c>
      <c r="F274" s="3" t="str">
        <f aca="false">IF($B274="","",IFERROR(LOOKUP(2^15,SEARCH(Rules!$A$2:$A$200&amp;"",$B274)/(Rules!$A$2:$A$200&lt;&gt;""),Rules!$A$2:$A$200),""))</f>
        <v/>
      </c>
      <c r="G274" s="3" t="str">
        <f aca="false">IF($B274="","",IF(D274="Uncategorized","⚠ Review",IF(IFERROR(LOOKUP(2^15,SEARCH(Rules!$A$2:$A$200&amp;"",$B274)/(Rules!$A$2:$A$200&lt;&gt;""),Rules!$C$2:$C$200),"")&lt;&gt;E274,"⚠ Check sign","OK")))</f>
        <v/>
      </c>
    </row>
    <row r="275" customFormat="false" ht="15" hidden="false" customHeight="false" outlineLevel="0" collapsed="false">
      <c r="A275" s="3"/>
      <c r="B275" s="3"/>
      <c r="C275" s="3"/>
      <c r="D275" s="3" t="str">
        <f aca="false">IF($B275="","",IFERROR(LOOKUP(2^15,SEARCH(Rules!$A$2:$A$200&amp;"",$B275)/(Rules!$A$2:$A$200&lt;&gt;""),Rules!$B$2:$B$200),"Uncategorized"))</f>
        <v/>
      </c>
      <c r="E275" s="3" t="str">
        <f aca="false">IF($B275="","",IF($C275&gt;=0,"Income","Expense"))</f>
        <v/>
      </c>
      <c r="F275" s="3" t="str">
        <f aca="false">IF($B275="","",IFERROR(LOOKUP(2^15,SEARCH(Rules!$A$2:$A$200&amp;"",$B275)/(Rules!$A$2:$A$200&lt;&gt;""),Rules!$A$2:$A$200),""))</f>
        <v/>
      </c>
      <c r="G275" s="3" t="str">
        <f aca="false">IF($B275="","",IF(D275="Uncategorized","⚠ Review",IF(IFERROR(LOOKUP(2^15,SEARCH(Rules!$A$2:$A$200&amp;"",$B275)/(Rules!$A$2:$A$200&lt;&gt;""),Rules!$C$2:$C$200),"")&lt;&gt;E275,"⚠ Check sign","OK")))</f>
        <v/>
      </c>
    </row>
    <row r="276" customFormat="false" ht="15" hidden="false" customHeight="false" outlineLevel="0" collapsed="false">
      <c r="A276" s="3"/>
      <c r="B276" s="3"/>
      <c r="C276" s="3"/>
      <c r="D276" s="3" t="str">
        <f aca="false">IF($B276="","",IFERROR(LOOKUP(2^15,SEARCH(Rules!$A$2:$A$200&amp;"",$B276)/(Rules!$A$2:$A$200&lt;&gt;""),Rules!$B$2:$B$200),"Uncategorized"))</f>
        <v/>
      </c>
      <c r="E276" s="3" t="str">
        <f aca="false">IF($B276="","",IF($C276&gt;=0,"Income","Expense"))</f>
        <v/>
      </c>
      <c r="F276" s="3" t="str">
        <f aca="false">IF($B276="","",IFERROR(LOOKUP(2^15,SEARCH(Rules!$A$2:$A$200&amp;"",$B276)/(Rules!$A$2:$A$200&lt;&gt;""),Rules!$A$2:$A$200),""))</f>
        <v/>
      </c>
      <c r="G276" s="3" t="str">
        <f aca="false">IF($B276="","",IF(D276="Uncategorized","⚠ Review",IF(IFERROR(LOOKUP(2^15,SEARCH(Rules!$A$2:$A$200&amp;"",$B276)/(Rules!$A$2:$A$200&lt;&gt;""),Rules!$C$2:$C$200),"")&lt;&gt;E276,"⚠ Check sign","OK")))</f>
        <v/>
      </c>
    </row>
    <row r="277" customFormat="false" ht="15" hidden="false" customHeight="false" outlineLevel="0" collapsed="false">
      <c r="A277" s="3"/>
      <c r="B277" s="3"/>
      <c r="C277" s="3"/>
      <c r="D277" s="3" t="str">
        <f aca="false">IF($B277="","",IFERROR(LOOKUP(2^15,SEARCH(Rules!$A$2:$A$200&amp;"",$B277)/(Rules!$A$2:$A$200&lt;&gt;""),Rules!$B$2:$B$200),"Uncategorized"))</f>
        <v/>
      </c>
      <c r="E277" s="3" t="str">
        <f aca="false">IF($B277="","",IF($C277&gt;=0,"Income","Expense"))</f>
        <v/>
      </c>
      <c r="F277" s="3" t="str">
        <f aca="false">IF($B277="","",IFERROR(LOOKUP(2^15,SEARCH(Rules!$A$2:$A$200&amp;"",$B277)/(Rules!$A$2:$A$200&lt;&gt;""),Rules!$A$2:$A$200),""))</f>
        <v/>
      </c>
      <c r="G277" s="3" t="str">
        <f aca="false">IF($B277="","",IF(D277="Uncategorized","⚠ Review",IF(IFERROR(LOOKUP(2^15,SEARCH(Rules!$A$2:$A$200&amp;"",$B277)/(Rules!$A$2:$A$200&lt;&gt;""),Rules!$C$2:$C$200),"")&lt;&gt;E277,"⚠ Check sign","OK")))</f>
        <v/>
      </c>
    </row>
    <row r="278" customFormat="false" ht="15" hidden="false" customHeight="false" outlineLevel="0" collapsed="false">
      <c r="A278" s="3"/>
      <c r="B278" s="3"/>
      <c r="C278" s="3"/>
      <c r="D278" s="3" t="str">
        <f aca="false">IF($B278="","",IFERROR(LOOKUP(2^15,SEARCH(Rules!$A$2:$A$200&amp;"",$B278)/(Rules!$A$2:$A$200&lt;&gt;""),Rules!$B$2:$B$200),"Uncategorized"))</f>
        <v/>
      </c>
      <c r="E278" s="3" t="str">
        <f aca="false">IF($B278="","",IF($C278&gt;=0,"Income","Expense"))</f>
        <v/>
      </c>
      <c r="F278" s="3" t="str">
        <f aca="false">IF($B278="","",IFERROR(LOOKUP(2^15,SEARCH(Rules!$A$2:$A$200&amp;"",$B278)/(Rules!$A$2:$A$200&lt;&gt;""),Rules!$A$2:$A$200),""))</f>
        <v/>
      </c>
      <c r="G278" s="3" t="str">
        <f aca="false">IF($B278="","",IF(D278="Uncategorized","⚠ Review",IF(IFERROR(LOOKUP(2^15,SEARCH(Rules!$A$2:$A$200&amp;"",$B278)/(Rules!$A$2:$A$200&lt;&gt;""),Rules!$C$2:$C$200),"")&lt;&gt;E278,"⚠ Check sign","OK")))</f>
        <v/>
      </c>
    </row>
    <row r="279" customFormat="false" ht="15" hidden="false" customHeight="false" outlineLevel="0" collapsed="false">
      <c r="A279" s="3"/>
      <c r="B279" s="3"/>
      <c r="C279" s="3"/>
      <c r="D279" s="3" t="str">
        <f aca="false">IF($B279="","",IFERROR(LOOKUP(2^15,SEARCH(Rules!$A$2:$A$200&amp;"",$B279)/(Rules!$A$2:$A$200&lt;&gt;""),Rules!$B$2:$B$200),"Uncategorized"))</f>
        <v/>
      </c>
      <c r="E279" s="3" t="str">
        <f aca="false">IF($B279="","",IF($C279&gt;=0,"Income","Expense"))</f>
        <v/>
      </c>
      <c r="F279" s="3" t="str">
        <f aca="false">IF($B279="","",IFERROR(LOOKUP(2^15,SEARCH(Rules!$A$2:$A$200&amp;"",$B279)/(Rules!$A$2:$A$200&lt;&gt;""),Rules!$A$2:$A$200),""))</f>
        <v/>
      </c>
      <c r="G279" s="3" t="str">
        <f aca="false">IF($B279="","",IF(D279="Uncategorized","⚠ Review",IF(IFERROR(LOOKUP(2^15,SEARCH(Rules!$A$2:$A$200&amp;"",$B279)/(Rules!$A$2:$A$200&lt;&gt;""),Rules!$C$2:$C$200),"")&lt;&gt;E279,"⚠ Check sign","OK")))</f>
        <v/>
      </c>
    </row>
    <row r="280" customFormat="false" ht="15" hidden="false" customHeight="false" outlineLevel="0" collapsed="false">
      <c r="A280" s="3"/>
      <c r="B280" s="3"/>
      <c r="C280" s="3"/>
      <c r="D280" s="3" t="str">
        <f aca="false">IF($B280="","",IFERROR(LOOKUP(2^15,SEARCH(Rules!$A$2:$A$200&amp;"",$B280)/(Rules!$A$2:$A$200&lt;&gt;""),Rules!$B$2:$B$200),"Uncategorized"))</f>
        <v/>
      </c>
      <c r="E280" s="3" t="str">
        <f aca="false">IF($B280="","",IF($C280&gt;=0,"Income","Expense"))</f>
        <v/>
      </c>
      <c r="F280" s="3" t="str">
        <f aca="false">IF($B280="","",IFERROR(LOOKUP(2^15,SEARCH(Rules!$A$2:$A$200&amp;"",$B280)/(Rules!$A$2:$A$200&lt;&gt;""),Rules!$A$2:$A$200),""))</f>
        <v/>
      </c>
      <c r="G280" s="3" t="str">
        <f aca="false">IF($B280="","",IF(D280="Uncategorized","⚠ Review",IF(IFERROR(LOOKUP(2^15,SEARCH(Rules!$A$2:$A$200&amp;"",$B280)/(Rules!$A$2:$A$200&lt;&gt;""),Rules!$C$2:$C$200),"")&lt;&gt;E280,"⚠ Check sign","OK")))</f>
        <v/>
      </c>
    </row>
    <row r="281" customFormat="false" ht="15" hidden="false" customHeight="false" outlineLevel="0" collapsed="false">
      <c r="A281" s="3"/>
      <c r="B281" s="3"/>
      <c r="C281" s="3"/>
      <c r="D281" s="3" t="str">
        <f aca="false">IF($B281="","",IFERROR(LOOKUP(2^15,SEARCH(Rules!$A$2:$A$200&amp;"",$B281)/(Rules!$A$2:$A$200&lt;&gt;""),Rules!$B$2:$B$200),"Uncategorized"))</f>
        <v/>
      </c>
      <c r="E281" s="3" t="str">
        <f aca="false">IF($B281="","",IF($C281&gt;=0,"Income","Expense"))</f>
        <v/>
      </c>
      <c r="F281" s="3" t="str">
        <f aca="false">IF($B281="","",IFERROR(LOOKUP(2^15,SEARCH(Rules!$A$2:$A$200&amp;"",$B281)/(Rules!$A$2:$A$200&lt;&gt;""),Rules!$A$2:$A$200),""))</f>
        <v/>
      </c>
      <c r="G281" s="3" t="str">
        <f aca="false">IF($B281="","",IF(D281="Uncategorized","⚠ Review",IF(IFERROR(LOOKUP(2^15,SEARCH(Rules!$A$2:$A$200&amp;"",$B281)/(Rules!$A$2:$A$200&lt;&gt;""),Rules!$C$2:$C$200),"")&lt;&gt;E281,"⚠ Check sign","OK")))</f>
        <v/>
      </c>
    </row>
    <row r="282" customFormat="false" ht="15" hidden="false" customHeight="false" outlineLevel="0" collapsed="false">
      <c r="A282" s="3"/>
      <c r="B282" s="3"/>
      <c r="C282" s="3"/>
      <c r="D282" s="3" t="str">
        <f aca="false">IF($B282="","",IFERROR(LOOKUP(2^15,SEARCH(Rules!$A$2:$A$200&amp;"",$B282)/(Rules!$A$2:$A$200&lt;&gt;""),Rules!$B$2:$B$200),"Uncategorized"))</f>
        <v/>
      </c>
      <c r="E282" s="3" t="str">
        <f aca="false">IF($B282="","",IF($C282&gt;=0,"Income","Expense"))</f>
        <v/>
      </c>
      <c r="F282" s="3" t="str">
        <f aca="false">IF($B282="","",IFERROR(LOOKUP(2^15,SEARCH(Rules!$A$2:$A$200&amp;"",$B282)/(Rules!$A$2:$A$200&lt;&gt;""),Rules!$A$2:$A$200),""))</f>
        <v/>
      </c>
      <c r="G282" s="3" t="str">
        <f aca="false">IF($B282="","",IF(D282="Uncategorized","⚠ Review",IF(IFERROR(LOOKUP(2^15,SEARCH(Rules!$A$2:$A$200&amp;"",$B282)/(Rules!$A$2:$A$200&lt;&gt;""),Rules!$C$2:$C$200),"")&lt;&gt;E282,"⚠ Check sign","OK")))</f>
        <v/>
      </c>
    </row>
    <row r="283" customFormat="false" ht="15" hidden="false" customHeight="false" outlineLevel="0" collapsed="false">
      <c r="A283" s="3"/>
      <c r="B283" s="3"/>
      <c r="C283" s="3"/>
      <c r="D283" s="3" t="str">
        <f aca="false">IF($B283="","",IFERROR(LOOKUP(2^15,SEARCH(Rules!$A$2:$A$200&amp;"",$B283)/(Rules!$A$2:$A$200&lt;&gt;""),Rules!$B$2:$B$200),"Uncategorized"))</f>
        <v/>
      </c>
      <c r="E283" s="3" t="str">
        <f aca="false">IF($B283="","",IF($C283&gt;=0,"Income","Expense"))</f>
        <v/>
      </c>
      <c r="F283" s="3" t="str">
        <f aca="false">IF($B283="","",IFERROR(LOOKUP(2^15,SEARCH(Rules!$A$2:$A$200&amp;"",$B283)/(Rules!$A$2:$A$200&lt;&gt;""),Rules!$A$2:$A$200),""))</f>
        <v/>
      </c>
      <c r="G283" s="3" t="str">
        <f aca="false">IF($B283="","",IF(D283="Uncategorized","⚠ Review",IF(IFERROR(LOOKUP(2^15,SEARCH(Rules!$A$2:$A$200&amp;"",$B283)/(Rules!$A$2:$A$200&lt;&gt;""),Rules!$C$2:$C$200),"")&lt;&gt;E283,"⚠ Check sign","OK")))</f>
        <v/>
      </c>
    </row>
    <row r="284" customFormat="false" ht="15" hidden="false" customHeight="false" outlineLevel="0" collapsed="false">
      <c r="A284" s="3"/>
      <c r="B284" s="3"/>
      <c r="C284" s="3"/>
      <c r="D284" s="3" t="str">
        <f aca="false">IF($B284="","",IFERROR(LOOKUP(2^15,SEARCH(Rules!$A$2:$A$200&amp;"",$B284)/(Rules!$A$2:$A$200&lt;&gt;""),Rules!$B$2:$B$200),"Uncategorized"))</f>
        <v/>
      </c>
      <c r="E284" s="3" t="str">
        <f aca="false">IF($B284="","",IF($C284&gt;=0,"Income","Expense"))</f>
        <v/>
      </c>
      <c r="F284" s="3" t="str">
        <f aca="false">IF($B284="","",IFERROR(LOOKUP(2^15,SEARCH(Rules!$A$2:$A$200&amp;"",$B284)/(Rules!$A$2:$A$200&lt;&gt;""),Rules!$A$2:$A$200),""))</f>
        <v/>
      </c>
      <c r="G284" s="3" t="str">
        <f aca="false">IF($B284="","",IF(D284="Uncategorized","⚠ Review",IF(IFERROR(LOOKUP(2^15,SEARCH(Rules!$A$2:$A$200&amp;"",$B284)/(Rules!$A$2:$A$200&lt;&gt;""),Rules!$C$2:$C$200),"")&lt;&gt;E284,"⚠ Check sign","OK")))</f>
        <v/>
      </c>
    </row>
    <row r="285" customFormat="false" ht="15" hidden="false" customHeight="false" outlineLevel="0" collapsed="false">
      <c r="A285" s="3"/>
      <c r="B285" s="3"/>
      <c r="C285" s="3"/>
      <c r="D285" s="3" t="str">
        <f aca="false">IF($B285="","",IFERROR(LOOKUP(2^15,SEARCH(Rules!$A$2:$A$200&amp;"",$B285)/(Rules!$A$2:$A$200&lt;&gt;""),Rules!$B$2:$B$200),"Uncategorized"))</f>
        <v/>
      </c>
      <c r="E285" s="3" t="str">
        <f aca="false">IF($B285="","",IF($C285&gt;=0,"Income","Expense"))</f>
        <v/>
      </c>
      <c r="F285" s="3" t="str">
        <f aca="false">IF($B285="","",IFERROR(LOOKUP(2^15,SEARCH(Rules!$A$2:$A$200&amp;"",$B285)/(Rules!$A$2:$A$200&lt;&gt;""),Rules!$A$2:$A$200),""))</f>
        <v/>
      </c>
      <c r="G285" s="3" t="str">
        <f aca="false">IF($B285="","",IF(D285="Uncategorized","⚠ Review",IF(IFERROR(LOOKUP(2^15,SEARCH(Rules!$A$2:$A$200&amp;"",$B285)/(Rules!$A$2:$A$200&lt;&gt;""),Rules!$C$2:$C$200),"")&lt;&gt;E285,"⚠ Check sign","OK")))</f>
        <v/>
      </c>
    </row>
    <row r="286" customFormat="false" ht="15" hidden="false" customHeight="false" outlineLevel="0" collapsed="false">
      <c r="A286" s="3"/>
      <c r="B286" s="3"/>
      <c r="C286" s="3"/>
      <c r="D286" s="3" t="str">
        <f aca="false">IF($B286="","",IFERROR(LOOKUP(2^15,SEARCH(Rules!$A$2:$A$200&amp;"",$B286)/(Rules!$A$2:$A$200&lt;&gt;""),Rules!$B$2:$B$200),"Uncategorized"))</f>
        <v/>
      </c>
      <c r="E286" s="3" t="str">
        <f aca="false">IF($B286="","",IF($C286&gt;=0,"Income","Expense"))</f>
        <v/>
      </c>
      <c r="F286" s="3" t="str">
        <f aca="false">IF($B286="","",IFERROR(LOOKUP(2^15,SEARCH(Rules!$A$2:$A$200&amp;"",$B286)/(Rules!$A$2:$A$200&lt;&gt;""),Rules!$A$2:$A$200),""))</f>
        <v/>
      </c>
      <c r="G286" s="3" t="str">
        <f aca="false">IF($B286="","",IF(D286="Uncategorized","⚠ Review",IF(IFERROR(LOOKUP(2^15,SEARCH(Rules!$A$2:$A$200&amp;"",$B286)/(Rules!$A$2:$A$200&lt;&gt;""),Rules!$C$2:$C$200),"")&lt;&gt;E286,"⚠ Check sign","OK")))</f>
        <v/>
      </c>
    </row>
    <row r="287" customFormat="false" ht="15" hidden="false" customHeight="false" outlineLevel="0" collapsed="false">
      <c r="A287" s="3"/>
      <c r="B287" s="3"/>
      <c r="C287" s="3"/>
      <c r="D287" s="3" t="str">
        <f aca="false">IF($B287="","",IFERROR(LOOKUP(2^15,SEARCH(Rules!$A$2:$A$200&amp;"",$B287)/(Rules!$A$2:$A$200&lt;&gt;""),Rules!$B$2:$B$200),"Uncategorized"))</f>
        <v/>
      </c>
      <c r="E287" s="3" t="str">
        <f aca="false">IF($B287="","",IF($C287&gt;=0,"Income","Expense"))</f>
        <v/>
      </c>
      <c r="F287" s="3" t="str">
        <f aca="false">IF($B287="","",IFERROR(LOOKUP(2^15,SEARCH(Rules!$A$2:$A$200&amp;"",$B287)/(Rules!$A$2:$A$200&lt;&gt;""),Rules!$A$2:$A$200),""))</f>
        <v/>
      </c>
      <c r="G287" s="3" t="str">
        <f aca="false">IF($B287="","",IF(D287="Uncategorized","⚠ Review",IF(IFERROR(LOOKUP(2^15,SEARCH(Rules!$A$2:$A$200&amp;"",$B287)/(Rules!$A$2:$A$200&lt;&gt;""),Rules!$C$2:$C$200),"")&lt;&gt;E287,"⚠ Check sign","OK")))</f>
        <v/>
      </c>
    </row>
    <row r="288" customFormat="false" ht="15" hidden="false" customHeight="false" outlineLevel="0" collapsed="false">
      <c r="A288" s="3"/>
      <c r="B288" s="3"/>
      <c r="C288" s="3"/>
      <c r="D288" s="3" t="str">
        <f aca="false">IF($B288="","",IFERROR(LOOKUP(2^15,SEARCH(Rules!$A$2:$A$200&amp;"",$B288)/(Rules!$A$2:$A$200&lt;&gt;""),Rules!$B$2:$B$200),"Uncategorized"))</f>
        <v/>
      </c>
      <c r="E288" s="3" t="str">
        <f aca="false">IF($B288="","",IF($C288&gt;=0,"Income","Expense"))</f>
        <v/>
      </c>
      <c r="F288" s="3" t="str">
        <f aca="false">IF($B288="","",IFERROR(LOOKUP(2^15,SEARCH(Rules!$A$2:$A$200&amp;"",$B288)/(Rules!$A$2:$A$200&lt;&gt;""),Rules!$A$2:$A$200),""))</f>
        <v/>
      </c>
      <c r="G288" s="3" t="str">
        <f aca="false">IF($B288="","",IF(D288="Uncategorized","⚠ Review",IF(IFERROR(LOOKUP(2^15,SEARCH(Rules!$A$2:$A$200&amp;"",$B288)/(Rules!$A$2:$A$200&lt;&gt;""),Rules!$C$2:$C$200),"")&lt;&gt;E288,"⚠ Check sign","OK")))</f>
        <v/>
      </c>
    </row>
    <row r="289" customFormat="false" ht="15" hidden="false" customHeight="false" outlineLevel="0" collapsed="false">
      <c r="A289" s="3"/>
      <c r="B289" s="3"/>
      <c r="C289" s="3"/>
      <c r="D289" s="3" t="str">
        <f aca="false">IF($B289="","",IFERROR(LOOKUP(2^15,SEARCH(Rules!$A$2:$A$200&amp;"",$B289)/(Rules!$A$2:$A$200&lt;&gt;""),Rules!$B$2:$B$200),"Uncategorized"))</f>
        <v/>
      </c>
      <c r="E289" s="3" t="str">
        <f aca="false">IF($B289="","",IF($C289&gt;=0,"Income","Expense"))</f>
        <v/>
      </c>
      <c r="F289" s="3" t="str">
        <f aca="false">IF($B289="","",IFERROR(LOOKUP(2^15,SEARCH(Rules!$A$2:$A$200&amp;"",$B289)/(Rules!$A$2:$A$200&lt;&gt;""),Rules!$A$2:$A$200),""))</f>
        <v/>
      </c>
      <c r="G289" s="3" t="str">
        <f aca="false">IF($B289="","",IF(D289="Uncategorized","⚠ Review",IF(IFERROR(LOOKUP(2^15,SEARCH(Rules!$A$2:$A$200&amp;"",$B289)/(Rules!$A$2:$A$200&lt;&gt;""),Rules!$C$2:$C$200),"")&lt;&gt;E289,"⚠ Check sign","OK")))</f>
        <v/>
      </c>
    </row>
    <row r="290" customFormat="false" ht="15" hidden="false" customHeight="false" outlineLevel="0" collapsed="false">
      <c r="A290" s="3"/>
      <c r="B290" s="3"/>
      <c r="C290" s="3"/>
      <c r="D290" s="3" t="str">
        <f aca="false">IF($B290="","",IFERROR(LOOKUP(2^15,SEARCH(Rules!$A$2:$A$200&amp;"",$B290)/(Rules!$A$2:$A$200&lt;&gt;""),Rules!$B$2:$B$200),"Uncategorized"))</f>
        <v/>
      </c>
      <c r="E290" s="3" t="str">
        <f aca="false">IF($B290="","",IF($C290&gt;=0,"Income","Expense"))</f>
        <v/>
      </c>
      <c r="F290" s="3" t="str">
        <f aca="false">IF($B290="","",IFERROR(LOOKUP(2^15,SEARCH(Rules!$A$2:$A$200&amp;"",$B290)/(Rules!$A$2:$A$200&lt;&gt;""),Rules!$A$2:$A$200),""))</f>
        <v/>
      </c>
      <c r="G290" s="3" t="str">
        <f aca="false">IF($B290="","",IF(D290="Uncategorized","⚠ Review",IF(IFERROR(LOOKUP(2^15,SEARCH(Rules!$A$2:$A$200&amp;"",$B290)/(Rules!$A$2:$A$200&lt;&gt;""),Rules!$C$2:$C$200),"")&lt;&gt;E290,"⚠ Check sign","OK")))</f>
        <v/>
      </c>
    </row>
    <row r="291" customFormat="false" ht="15" hidden="false" customHeight="false" outlineLevel="0" collapsed="false">
      <c r="A291" s="3"/>
      <c r="B291" s="3"/>
      <c r="C291" s="3"/>
      <c r="D291" s="3" t="str">
        <f aca="false">IF($B291="","",IFERROR(LOOKUP(2^15,SEARCH(Rules!$A$2:$A$200&amp;"",$B291)/(Rules!$A$2:$A$200&lt;&gt;""),Rules!$B$2:$B$200),"Uncategorized"))</f>
        <v/>
      </c>
      <c r="E291" s="3" t="str">
        <f aca="false">IF($B291="","",IF($C291&gt;=0,"Income","Expense"))</f>
        <v/>
      </c>
      <c r="F291" s="3" t="str">
        <f aca="false">IF($B291="","",IFERROR(LOOKUP(2^15,SEARCH(Rules!$A$2:$A$200&amp;"",$B291)/(Rules!$A$2:$A$200&lt;&gt;""),Rules!$A$2:$A$200),""))</f>
        <v/>
      </c>
      <c r="G291" s="3" t="str">
        <f aca="false">IF($B291="","",IF(D291="Uncategorized","⚠ Review",IF(IFERROR(LOOKUP(2^15,SEARCH(Rules!$A$2:$A$200&amp;"",$B291)/(Rules!$A$2:$A$200&lt;&gt;""),Rules!$C$2:$C$200),"")&lt;&gt;E291,"⚠ Check sign","OK")))</f>
        <v/>
      </c>
    </row>
    <row r="292" customFormat="false" ht="15" hidden="false" customHeight="false" outlineLevel="0" collapsed="false">
      <c r="A292" s="3"/>
      <c r="B292" s="3"/>
      <c r="C292" s="3"/>
      <c r="D292" s="3" t="str">
        <f aca="false">IF($B292="","",IFERROR(LOOKUP(2^15,SEARCH(Rules!$A$2:$A$200&amp;"",$B292)/(Rules!$A$2:$A$200&lt;&gt;""),Rules!$B$2:$B$200),"Uncategorized"))</f>
        <v/>
      </c>
      <c r="E292" s="3" t="str">
        <f aca="false">IF($B292="","",IF($C292&gt;=0,"Income","Expense"))</f>
        <v/>
      </c>
      <c r="F292" s="3" t="str">
        <f aca="false">IF($B292="","",IFERROR(LOOKUP(2^15,SEARCH(Rules!$A$2:$A$200&amp;"",$B292)/(Rules!$A$2:$A$200&lt;&gt;""),Rules!$A$2:$A$200),""))</f>
        <v/>
      </c>
      <c r="G292" s="3" t="str">
        <f aca="false">IF($B292="","",IF(D292="Uncategorized","⚠ Review",IF(IFERROR(LOOKUP(2^15,SEARCH(Rules!$A$2:$A$200&amp;"",$B292)/(Rules!$A$2:$A$200&lt;&gt;""),Rules!$C$2:$C$200),"")&lt;&gt;E292,"⚠ Check sign","OK")))</f>
        <v/>
      </c>
    </row>
    <row r="293" customFormat="false" ht="15" hidden="false" customHeight="false" outlineLevel="0" collapsed="false">
      <c r="A293" s="3"/>
      <c r="B293" s="3"/>
      <c r="C293" s="3"/>
      <c r="D293" s="3" t="str">
        <f aca="false">IF($B293="","",IFERROR(LOOKUP(2^15,SEARCH(Rules!$A$2:$A$200&amp;"",$B293)/(Rules!$A$2:$A$200&lt;&gt;""),Rules!$B$2:$B$200),"Uncategorized"))</f>
        <v/>
      </c>
      <c r="E293" s="3" t="str">
        <f aca="false">IF($B293="","",IF($C293&gt;=0,"Income","Expense"))</f>
        <v/>
      </c>
      <c r="F293" s="3" t="str">
        <f aca="false">IF($B293="","",IFERROR(LOOKUP(2^15,SEARCH(Rules!$A$2:$A$200&amp;"",$B293)/(Rules!$A$2:$A$200&lt;&gt;""),Rules!$A$2:$A$200),""))</f>
        <v/>
      </c>
      <c r="G293" s="3" t="str">
        <f aca="false">IF($B293="","",IF(D293="Uncategorized","⚠ Review",IF(IFERROR(LOOKUP(2^15,SEARCH(Rules!$A$2:$A$200&amp;"",$B293)/(Rules!$A$2:$A$200&lt;&gt;""),Rules!$C$2:$C$200),"")&lt;&gt;E293,"⚠ Check sign","OK")))</f>
        <v/>
      </c>
    </row>
    <row r="294" customFormat="false" ht="15" hidden="false" customHeight="false" outlineLevel="0" collapsed="false">
      <c r="A294" s="3"/>
      <c r="B294" s="3"/>
      <c r="C294" s="3"/>
      <c r="D294" s="3" t="str">
        <f aca="false">IF($B294="","",IFERROR(LOOKUP(2^15,SEARCH(Rules!$A$2:$A$200&amp;"",$B294)/(Rules!$A$2:$A$200&lt;&gt;""),Rules!$B$2:$B$200),"Uncategorized"))</f>
        <v/>
      </c>
      <c r="E294" s="3" t="str">
        <f aca="false">IF($B294="","",IF($C294&gt;=0,"Income","Expense"))</f>
        <v/>
      </c>
      <c r="F294" s="3" t="str">
        <f aca="false">IF($B294="","",IFERROR(LOOKUP(2^15,SEARCH(Rules!$A$2:$A$200&amp;"",$B294)/(Rules!$A$2:$A$200&lt;&gt;""),Rules!$A$2:$A$200),""))</f>
        <v/>
      </c>
      <c r="G294" s="3" t="str">
        <f aca="false">IF($B294="","",IF(D294="Uncategorized","⚠ Review",IF(IFERROR(LOOKUP(2^15,SEARCH(Rules!$A$2:$A$200&amp;"",$B294)/(Rules!$A$2:$A$200&lt;&gt;""),Rules!$C$2:$C$200),"")&lt;&gt;E294,"⚠ Check sign","OK")))</f>
        <v/>
      </c>
    </row>
    <row r="295" customFormat="false" ht="15" hidden="false" customHeight="false" outlineLevel="0" collapsed="false">
      <c r="A295" s="3"/>
      <c r="B295" s="3"/>
      <c r="C295" s="3"/>
      <c r="D295" s="3" t="str">
        <f aca="false">IF($B295="","",IFERROR(LOOKUP(2^15,SEARCH(Rules!$A$2:$A$200&amp;"",$B295)/(Rules!$A$2:$A$200&lt;&gt;""),Rules!$B$2:$B$200),"Uncategorized"))</f>
        <v/>
      </c>
      <c r="E295" s="3" t="str">
        <f aca="false">IF($B295="","",IF($C295&gt;=0,"Income","Expense"))</f>
        <v/>
      </c>
      <c r="F295" s="3" t="str">
        <f aca="false">IF($B295="","",IFERROR(LOOKUP(2^15,SEARCH(Rules!$A$2:$A$200&amp;"",$B295)/(Rules!$A$2:$A$200&lt;&gt;""),Rules!$A$2:$A$200),""))</f>
        <v/>
      </c>
      <c r="G295" s="3" t="str">
        <f aca="false">IF($B295="","",IF(D295="Uncategorized","⚠ Review",IF(IFERROR(LOOKUP(2^15,SEARCH(Rules!$A$2:$A$200&amp;"",$B295)/(Rules!$A$2:$A$200&lt;&gt;""),Rules!$C$2:$C$200),"")&lt;&gt;E295,"⚠ Check sign","OK")))</f>
        <v/>
      </c>
    </row>
    <row r="296" customFormat="false" ht="15" hidden="false" customHeight="false" outlineLevel="0" collapsed="false">
      <c r="A296" s="3"/>
      <c r="B296" s="3"/>
      <c r="C296" s="3"/>
      <c r="D296" s="3" t="str">
        <f aca="false">IF($B296="","",IFERROR(LOOKUP(2^15,SEARCH(Rules!$A$2:$A$200&amp;"",$B296)/(Rules!$A$2:$A$200&lt;&gt;""),Rules!$B$2:$B$200),"Uncategorized"))</f>
        <v/>
      </c>
      <c r="E296" s="3" t="str">
        <f aca="false">IF($B296="","",IF($C296&gt;=0,"Income","Expense"))</f>
        <v/>
      </c>
      <c r="F296" s="3" t="str">
        <f aca="false">IF($B296="","",IFERROR(LOOKUP(2^15,SEARCH(Rules!$A$2:$A$200&amp;"",$B296)/(Rules!$A$2:$A$200&lt;&gt;""),Rules!$A$2:$A$200),""))</f>
        <v/>
      </c>
      <c r="G296" s="3" t="str">
        <f aca="false">IF($B296="","",IF(D296="Uncategorized","⚠ Review",IF(IFERROR(LOOKUP(2^15,SEARCH(Rules!$A$2:$A$200&amp;"",$B296)/(Rules!$A$2:$A$200&lt;&gt;""),Rules!$C$2:$C$200),"")&lt;&gt;E296,"⚠ Check sign","OK")))</f>
        <v/>
      </c>
    </row>
    <row r="297" customFormat="false" ht="15" hidden="false" customHeight="false" outlineLevel="0" collapsed="false">
      <c r="A297" s="3"/>
      <c r="B297" s="3"/>
      <c r="C297" s="3"/>
      <c r="D297" s="3" t="str">
        <f aca="false">IF($B297="","",IFERROR(LOOKUP(2^15,SEARCH(Rules!$A$2:$A$200&amp;"",$B297)/(Rules!$A$2:$A$200&lt;&gt;""),Rules!$B$2:$B$200),"Uncategorized"))</f>
        <v/>
      </c>
      <c r="E297" s="3" t="str">
        <f aca="false">IF($B297="","",IF($C297&gt;=0,"Income","Expense"))</f>
        <v/>
      </c>
      <c r="F297" s="3" t="str">
        <f aca="false">IF($B297="","",IFERROR(LOOKUP(2^15,SEARCH(Rules!$A$2:$A$200&amp;"",$B297)/(Rules!$A$2:$A$200&lt;&gt;""),Rules!$A$2:$A$200),""))</f>
        <v/>
      </c>
      <c r="G297" s="3" t="str">
        <f aca="false">IF($B297="","",IF(D297="Uncategorized","⚠ Review",IF(IFERROR(LOOKUP(2^15,SEARCH(Rules!$A$2:$A$200&amp;"",$B297)/(Rules!$A$2:$A$200&lt;&gt;""),Rules!$C$2:$C$200),"")&lt;&gt;E297,"⚠ Check sign","OK")))</f>
        <v/>
      </c>
    </row>
    <row r="298" customFormat="false" ht="15" hidden="false" customHeight="false" outlineLevel="0" collapsed="false">
      <c r="A298" s="3"/>
      <c r="B298" s="3"/>
      <c r="C298" s="3"/>
      <c r="D298" s="3" t="str">
        <f aca="false">IF($B298="","",IFERROR(LOOKUP(2^15,SEARCH(Rules!$A$2:$A$200&amp;"",$B298)/(Rules!$A$2:$A$200&lt;&gt;""),Rules!$B$2:$B$200),"Uncategorized"))</f>
        <v/>
      </c>
      <c r="E298" s="3" t="str">
        <f aca="false">IF($B298="","",IF($C298&gt;=0,"Income","Expense"))</f>
        <v/>
      </c>
      <c r="F298" s="3" t="str">
        <f aca="false">IF($B298="","",IFERROR(LOOKUP(2^15,SEARCH(Rules!$A$2:$A$200&amp;"",$B298)/(Rules!$A$2:$A$200&lt;&gt;""),Rules!$A$2:$A$200),""))</f>
        <v/>
      </c>
      <c r="G298" s="3" t="str">
        <f aca="false">IF($B298="","",IF(D298="Uncategorized","⚠ Review",IF(IFERROR(LOOKUP(2^15,SEARCH(Rules!$A$2:$A$200&amp;"",$B298)/(Rules!$A$2:$A$200&lt;&gt;""),Rules!$C$2:$C$200),"")&lt;&gt;E298,"⚠ Check sign","OK")))</f>
        <v/>
      </c>
    </row>
    <row r="299" customFormat="false" ht="15" hidden="false" customHeight="false" outlineLevel="0" collapsed="false">
      <c r="A299" s="3"/>
      <c r="B299" s="3"/>
      <c r="C299" s="3"/>
      <c r="D299" s="3" t="str">
        <f aca="false">IF($B299="","",IFERROR(LOOKUP(2^15,SEARCH(Rules!$A$2:$A$200&amp;"",$B299)/(Rules!$A$2:$A$200&lt;&gt;""),Rules!$B$2:$B$200),"Uncategorized"))</f>
        <v/>
      </c>
      <c r="E299" s="3" t="str">
        <f aca="false">IF($B299="","",IF($C299&gt;=0,"Income","Expense"))</f>
        <v/>
      </c>
      <c r="F299" s="3" t="str">
        <f aca="false">IF($B299="","",IFERROR(LOOKUP(2^15,SEARCH(Rules!$A$2:$A$200&amp;"",$B299)/(Rules!$A$2:$A$200&lt;&gt;""),Rules!$A$2:$A$200),""))</f>
        <v/>
      </c>
      <c r="G299" s="3" t="str">
        <f aca="false">IF($B299="","",IF(D299="Uncategorized","⚠ Review",IF(IFERROR(LOOKUP(2^15,SEARCH(Rules!$A$2:$A$200&amp;"",$B299)/(Rules!$A$2:$A$200&lt;&gt;""),Rules!$C$2:$C$200),"")&lt;&gt;E299,"⚠ Check sign","OK")))</f>
        <v/>
      </c>
    </row>
    <row r="300" customFormat="false" ht="15" hidden="false" customHeight="false" outlineLevel="0" collapsed="false">
      <c r="A300" s="3"/>
      <c r="B300" s="3"/>
      <c r="C300" s="3"/>
      <c r="D300" s="3" t="str">
        <f aca="false">IF($B300="","",IFERROR(LOOKUP(2^15,SEARCH(Rules!$A$2:$A$200&amp;"",$B300)/(Rules!$A$2:$A$200&lt;&gt;""),Rules!$B$2:$B$200),"Uncategorized"))</f>
        <v/>
      </c>
      <c r="E300" s="3" t="str">
        <f aca="false">IF($B300="","",IF($C300&gt;=0,"Income","Expense"))</f>
        <v/>
      </c>
      <c r="F300" s="3" t="str">
        <f aca="false">IF($B300="","",IFERROR(LOOKUP(2^15,SEARCH(Rules!$A$2:$A$200&amp;"",$B300)/(Rules!$A$2:$A$200&lt;&gt;""),Rules!$A$2:$A$200),""))</f>
        <v/>
      </c>
      <c r="G300" s="3" t="str">
        <f aca="false">IF($B300="","",IF(D300="Uncategorized","⚠ Review",IF(IFERROR(LOOKUP(2^15,SEARCH(Rules!$A$2:$A$200&amp;"",$B300)/(Rules!$A$2:$A$200&lt;&gt;""),Rules!$C$2:$C$200),"")&lt;&gt;E300,"⚠ Check sign","OK")))</f>
        <v/>
      </c>
    </row>
    <row r="301" customFormat="false" ht="15" hidden="false" customHeight="false" outlineLevel="0" collapsed="false">
      <c r="A301" s="3"/>
      <c r="B301" s="3"/>
      <c r="C301" s="3"/>
      <c r="D301" s="3" t="str">
        <f aca="false">IF($B301="","",IFERROR(LOOKUP(2^15,SEARCH(Rules!$A$2:$A$200&amp;"",$B301)/(Rules!$A$2:$A$200&lt;&gt;""),Rules!$B$2:$B$200),"Uncategorized"))</f>
        <v/>
      </c>
      <c r="E301" s="3" t="str">
        <f aca="false">IF($B301="","",IF($C301&gt;=0,"Income","Expense"))</f>
        <v/>
      </c>
      <c r="F301" s="3" t="str">
        <f aca="false">IF($B301="","",IFERROR(LOOKUP(2^15,SEARCH(Rules!$A$2:$A$200&amp;"",$B301)/(Rules!$A$2:$A$200&lt;&gt;""),Rules!$A$2:$A$200),""))</f>
        <v/>
      </c>
      <c r="G301" s="3" t="str">
        <f aca="false">IF($B301="","",IF(D301="Uncategorized","⚠ Review",IF(IFERROR(LOOKUP(2^15,SEARCH(Rules!$A$2:$A$200&amp;"",$B301)/(Rules!$A$2:$A$200&lt;&gt;""),Rules!$C$2:$C$200),"")&lt;&gt;E301,"⚠ Check sign","OK")))</f>
        <v/>
      </c>
    </row>
    <row r="302" customFormat="false" ht="15" hidden="false" customHeight="false" outlineLevel="0" collapsed="false">
      <c r="A302" s="3"/>
      <c r="B302" s="3"/>
      <c r="C302" s="3"/>
      <c r="D302" s="3" t="str">
        <f aca="false">IF($B302="","",IFERROR(LOOKUP(2^15,SEARCH(Rules!$A$2:$A$200&amp;"",$B302)/(Rules!$A$2:$A$200&lt;&gt;""),Rules!$B$2:$B$200),"Uncategorized"))</f>
        <v/>
      </c>
      <c r="E302" s="3" t="str">
        <f aca="false">IF($B302="","",IF($C302&gt;=0,"Income","Expense"))</f>
        <v/>
      </c>
      <c r="F302" s="3" t="str">
        <f aca="false">IF($B302="","",IFERROR(LOOKUP(2^15,SEARCH(Rules!$A$2:$A$200&amp;"",$B302)/(Rules!$A$2:$A$200&lt;&gt;""),Rules!$A$2:$A$200),""))</f>
        <v/>
      </c>
      <c r="G302" s="3" t="str">
        <f aca="false">IF($B302="","",IF(D302="Uncategorized","⚠ Review",IF(IFERROR(LOOKUP(2^15,SEARCH(Rules!$A$2:$A$200&amp;"",$B302)/(Rules!$A$2:$A$200&lt;&gt;""),Rules!$C$2:$C$200),"")&lt;&gt;E302,"⚠ Check sign","OK")))</f>
        <v/>
      </c>
    </row>
    <row r="303" customFormat="false" ht="15" hidden="false" customHeight="false" outlineLevel="0" collapsed="false">
      <c r="A303" s="3"/>
      <c r="B303" s="3"/>
      <c r="C303" s="3"/>
      <c r="D303" s="3" t="str">
        <f aca="false">IF($B303="","",IFERROR(LOOKUP(2^15,SEARCH(Rules!$A$2:$A$200&amp;"",$B303)/(Rules!$A$2:$A$200&lt;&gt;""),Rules!$B$2:$B$200),"Uncategorized"))</f>
        <v/>
      </c>
      <c r="E303" s="3" t="str">
        <f aca="false">IF($B303="","",IF($C303&gt;=0,"Income","Expense"))</f>
        <v/>
      </c>
      <c r="F303" s="3" t="str">
        <f aca="false">IF($B303="","",IFERROR(LOOKUP(2^15,SEARCH(Rules!$A$2:$A$200&amp;"",$B303)/(Rules!$A$2:$A$200&lt;&gt;""),Rules!$A$2:$A$200),""))</f>
        <v/>
      </c>
      <c r="G303" s="3" t="str">
        <f aca="false">IF($B303="","",IF(D303="Uncategorized","⚠ Review",IF(IFERROR(LOOKUP(2^15,SEARCH(Rules!$A$2:$A$200&amp;"",$B303)/(Rules!$A$2:$A$200&lt;&gt;""),Rules!$C$2:$C$200),"")&lt;&gt;E303,"⚠ Check sign","OK")))</f>
        <v/>
      </c>
    </row>
    <row r="304" customFormat="false" ht="15" hidden="false" customHeight="false" outlineLevel="0" collapsed="false">
      <c r="A304" s="3"/>
      <c r="B304" s="3"/>
      <c r="C304" s="3"/>
      <c r="D304" s="3" t="str">
        <f aca="false">IF($B304="","",IFERROR(LOOKUP(2^15,SEARCH(Rules!$A$2:$A$200&amp;"",$B304)/(Rules!$A$2:$A$200&lt;&gt;""),Rules!$B$2:$B$200),"Uncategorized"))</f>
        <v/>
      </c>
      <c r="E304" s="3" t="str">
        <f aca="false">IF($B304="","",IF($C304&gt;=0,"Income","Expense"))</f>
        <v/>
      </c>
      <c r="F304" s="3" t="str">
        <f aca="false">IF($B304="","",IFERROR(LOOKUP(2^15,SEARCH(Rules!$A$2:$A$200&amp;"",$B304)/(Rules!$A$2:$A$200&lt;&gt;""),Rules!$A$2:$A$200),""))</f>
        <v/>
      </c>
      <c r="G304" s="3" t="str">
        <f aca="false">IF($B304="","",IF(D304="Uncategorized","⚠ Review",IF(IFERROR(LOOKUP(2^15,SEARCH(Rules!$A$2:$A$200&amp;"",$B304)/(Rules!$A$2:$A$200&lt;&gt;""),Rules!$C$2:$C$200),"")&lt;&gt;E304,"⚠ Check sign","OK")))</f>
        <v/>
      </c>
    </row>
    <row r="305" customFormat="false" ht="15" hidden="false" customHeight="false" outlineLevel="0" collapsed="false">
      <c r="A305" s="3"/>
      <c r="B305" s="3"/>
      <c r="C305" s="3"/>
      <c r="D305" s="3" t="str">
        <f aca="false">IF($B305="","",IFERROR(LOOKUP(2^15,SEARCH(Rules!$A$2:$A$200&amp;"",$B305)/(Rules!$A$2:$A$200&lt;&gt;""),Rules!$B$2:$B$200),"Uncategorized"))</f>
        <v/>
      </c>
      <c r="E305" s="3" t="str">
        <f aca="false">IF($B305="","",IF($C305&gt;=0,"Income","Expense"))</f>
        <v/>
      </c>
      <c r="F305" s="3" t="str">
        <f aca="false">IF($B305="","",IFERROR(LOOKUP(2^15,SEARCH(Rules!$A$2:$A$200&amp;"",$B305)/(Rules!$A$2:$A$200&lt;&gt;""),Rules!$A$2:$A$200),""))</f>
        <v/>
      </c>
      <c r="G305" s="3" t="str">
        <f aca="false">IF($B305="","",IF(D305="Uncategorized","⚠ Review",IF(IFERROR(LOOKUP(2^15,SEARCH(Rules!$A$2:$A$200&amp;"",$B305)/(Rules!$A$2:$A$200&lt;&gt;""),Rules!$C$2:$C$200),"")&lt;&gt;E305,"⚠ Check sign","OK")))</f>
        <v/>
      </c>
    </row>
    <row r="306" customFormat="false" ht="15" hidden="false" customHeight="false" outlineLevel="0" collapsed="false">
      <c r="A306" s="3"/>
      <c r="B306" s="3"/>
      <c r="C306" s="3"/>
      <c r="D306" s="3" t="str">
        <f aca="false">IF($B306="","",IFERROR(LOOKUP(2^15,SEARCH(Rules!$A$2:$A$200&amp;"",$B306)/(Rules!$A$2:$A$200&lt;&gt;""),Rules!$B$2:$B$200),"Uncategorized"))</f>
        <v/>
      </c>
      <c r="E306" s="3" t="str">
        <f aca="false">IF($B306="","",IF($C306&gt;=0,"Income","Expense"))</f>
        <v/>
      </c>
      <c r="F306" s="3" t="str">
        <f aca="false">IF($B306="","",IFERROR(LOOKUP(2^15,SEARCH(Rules!$A$2:$A$200&amp;"",$B306)/(Rules!$A$2:$A$200&lt;&gt;""),Rules!$A$2:$A$200),""))</f>
        <v/>
      </c>
      <c r="G306" s="3" t="str">
        <f aca="false">IF($B306="","",IF(D306="Uncategorized","⚠ Review",IF(IFERROR(LOOKUP(2^15,SEARCH(Rules!$A$2:$A$200&amp;"",$B306)/(Rules!$A$2:$A$200&lt;&gt;""),Rules!$C$2:$C$200),"")&lt;&gt;E306,"⚠ Check sign","OK")))</f>
        <v/>
      </c>
    </row>
    <row r="307" customFormat="false" ht="15" hidden="false" customHeight="false" outlineLevel="0" collapsed="false">
      <c r="A307" s="3"/>
      <c r="B307" s="3"/>
      <c r="C307" s="3"/>
      <c r="D307" s="3" t="str">
        <f aca="false">IF($B307="","",IFERROR(LOOKUP(2^15,SEARCH(Rules!$A$2:$A$200&amp;"",$B307)/(Rules!$A$2:$A$200&lt;&gt;""),Rules!$B$2:$B$200),"Uncategorized"))</f>
        <v/>
      </c>
      <c r="E307" s="3" t="str">
        <f aca="false">IF($B307="","",IF($C307&gt;=0,"Income","Expense"))</f>
        <v/>
      </c>
      <c r="F307" s="3" t="str">
        <f aca="false">IF($B307="","",IFERROR(LOOKUP(2^15,SEARCH(Rules!$A$2:$A$200&amp;"",$B307)/(Rules!$A$2:$A$200&lt;&gt;""),Rules!$A$2:$A$200),""))</f>
        <v/>
      </c>
      <c r="G307" s="3" t="str">
        <f aca="false">IF($B307="","",IF(D307="Uncategorized","⚠ Review",IF(IFERROR(LOOKUP(2^15,SEARCH(Rules!$A$2:$A$200&amp;"",$B307)/(Rules!$A$2:$A$200&lt;&gt;""),Rules!$C$2:$C$200),"")&lt;&gt;E307,"⚠ Check sign","OK")))</f>
        <v/>
      </c>
    </row>
    <row r="308" customFormat="false" ht="15" hidden="false" customHeight="false" outlineLevel="0" collapsed="false">
      <c r="A308" s="3"/>
      <c r="B308" s="3"/>
      <c r="C308" s="3"/>
      <c r="D308" s="3" t="str">
        <f aca="false">IF($B308="","",IFERROR(LOOKUP(2^15,SEARCH(Rules!$A$2:$A$200&amp;"",$B308)/(Rules!$A$2:$A$200&lt;&gt;""),Rules!$B$2:$B$200),"Uncategorized"))</f>
        <v/>
      </c>
      <c r="E308" s="3" t="str">
        <f aca="false">IF($B308="","",IF($C308&gt;=0,"Income","Expense"))</f>
        <v/>
      </c>
      <c r="F308" s="3" t="str">
        <f aca="false">IF($B308="","",IFERROR(LOOKUP(2^15,SEARCH(Rules!$A$2:$A$200&amp;"",$B308)/(Rules!$A$2:$A$200&lt;&gt;""),Rules!$A$2:$A$200),""))</f>
        <v/>
      </c>
      <c r="G308" s="3" t="str">
        <f aca="false">IF($B308="","",IF(D308="Uncategorized","⚠ Review",IF(IFERROR(LOOKUP(2^15,SEARCH(Rules!$A$2:$A$200&amp;"",$B308)/(Rules!$A$2:$A$200&lt;&gt;""),Rules!$C$2:$C$200),"")&lt;&gt;E308,"⚠ Check sign","OK")))</f>
        <v/>
      </c>
    </row>
    <row r="309" customFormat="false" ht="15" hidden="false" customHeight="false" outlineLevel="0" collapsed="false">
      <c r="A309" s="3"/>
      <c r="B309" s="3"/>
      <c r="C309" s="3"/>
      <c r="D309" s="3" t="str">
        <f aca="false">IF($B309="","",IFERROR(LOOKUP(2^15,SEARCH(Rules!$A$2:$A$200&amp;"",$B309)/(Rules!$A$2:$A$200&lt;&gt;""),Rules!$B$2:$B$200),"Uncategorized"))</f>
        <v/>
      </c>
      <c r="E309" s="3" t="str">
        <f aca="false">IF($B309="","",IF($C309&gt;=0,"Income","Expense"))</f>
        <v/>
      </c>
      <c r="F309" s="3" t="str">
        <f aca="false">IF($B309="","",IFERROR(LOOKUP(2^15,SEARCH(Rules!$A$2:$A$200&amp;"",$B309)/(Rules!$A$2:$A$200&lt;&gt;""),Rules!$A$2:$A$200),""))</f>
        <v/>
      </c>
      <c r="G309" s="3" t="str">
        <f aca="false">IF($B309="","",IF(D309="Uncategorized","⚠ Review",IF(IFERROR(LOOKUP(2^15,SEARCH(Rules!$A$2:$A$200&amp;"",$B309)/(Rules!$A$2:$A$200&lt;&gt;""),Rules!$C$2:$C$200),"")&lt;&gt;E309,"⚠ Check sign","OK")))</f>
        <v/>
      </c>
    </row>
    <row r="310" customFormat="false" ht="15" hidden="false" customHeight="false" outlineLevel="0" collapsed="false">
      <c r="A310" s="3"/>
      <c r="B310" s="3"/>
      <c r="C310" s="3"/>
      <c r="D310" s="3" t="str">
        <f aca="false">IF($B310="","",IFERROR(LOOKUP(2^15,SEARCH(Rules!$A$2:$A$200&amp;"",$B310)/(Rules!$A$2:$A$200&lt;&gt;""),Rules!$B$2:$B$200),"Uncategorized"))</f>
        <v/>
      </c>
      <c r="E310" s="3" t="str">
        <f aca="false">IF($B310="","",IF($C310&gt;=0,"Income","Expense"))</f>
        <v/>
      </c>
      <c r="F310" s="3" t="str">
        <f aca="false">IF($B310="","",IFERROR(LOOKUP(2^15,SEARCH(Rules!$A$2:$A$200&amp;"",$B310)/(Rules!$A$2:$A$200&lt;&gt;""),Rules!$A$2:$A$200),""))</f>
        <v/>
      </c>
      <c r="G310" s="3" t="str">
        <f aca="false">IF($B310="","",IF(D310="Uncategorized","⚠ Review",IF(IFERROR(LOOKUP(2^15,SEARCH(Rules!$A$2:$A$200&amp;"",$B310)/(Rules!$A$2:$A$200&lt;&gt;""),Rules!$C$2:$C$200),"")&lt;&gt;E310,"⚠ Check sign","OK")))</f>
        <v/>
      </c>
    </row>
    <row r="311" customFormat="false" ht="15" hidden="false" customHeight="false" outlineLevel="0" collapsed="false">
      <c r="A311" s="3"/>
      <c r="B311" s="3"/>
      <c r="C311" s="3"/>
      <c r="D311" s="3" t="str">
        <f aca="false">IF($B311="","",IFERROR(LOOKUP(2^15,SEARCH(Rules!$A$2:$A$200&amp;"",$B311)/(Rules!$A$2:$A$200&lt;&gt;""),Rules!$B$2:$B$200),"Uncategorized"))</f>
        <v/>
      </c>
      <c r="E311" s="3" t="str">
        <f aca="false">IF($B311="","",IF($C311&gt;=0,"Income","Expense"))</f>
        <v/>
      </c>
      <c r="F311" s="3" t="str">
        <f aca="false">IF($B311="","",IFERROR(LOOKUP(2^15,SEARCH(Rules!$A$2:$A$200&amp;"",$B311)/(Rules!$A$2:$A$200&lt;&gt;""),Rules!$A$2:$A$200),""))</f>
        <v/>
      </c>
      <c r="G311" s="3" t="str">
        <f aca="false">IF($B311="","",IF(D311="Uncategorized","⚠ Review",IF(IFERROR(LOOKUP(2^15,SEARCH(Rules!$A$2:$A$200&amp;"",$B311)/(Rules!$A$2:$A$200&lt;&gt;""),Rules!$C$2:$C$200),"")&lt;&gt;E311,"⚠ Check sign","OK")))</f>
        <v/>
      </c>
    </row>
    <row r="312" customFormat="false" ht="15" hidden="false" customHeight="false" outlineLevel="0" collapsed="false">
      <c r="A312" s="3"/>
      <c r="B312" s="3"/>
      <c r="C312" s="3"/>
      <c r="D312" s="3" t="str">
        <f aca="false">IF($B312="","",IFERROR(LOOKUP(2^15,SEARCH(Rules!$A$2:$A$200&amp;"",$B312)/(Rules!$A$2:$A$200&lt;&gt;""),Rules!$B$2:$B$200),"Uncategorized"))</f>
        <v/>
      </c>
      <c r="E312" s="3" t="str">
        <f aca="false">IF($B312="","",IF($C312&gt;=0,"Income","Expense"))</f>
        <v/>
      </c>
      <c r="F312" s="3" t="str">
        <f aca="false">IF($B312="","",IFERROR(LOOKUP(2^15,SEARCH(Rules!$A$2:$A$200&amp;"",$B312)/(Rules!$A$2:$A$200&lt;&gt;""),Rules!$A$2:$A$200),""))</f>
        <v/>
      </c>
      <c r="G312" s="3" t="str">
        <f aca="false">IF($B312="","",IF(D312="Uncategorized","⚠ Review",IF(IFERROR(LOOKUP(2^15,SEARCH(Rules!$A$2:$A$200&amp;"",$B312)/(Rules!$A$2:$A$200&lt;&gt;""),Rules!$C$2:$C$200),"")&lt;&gt;E312,"⚠ Check sign","OK")))</f>
        <v/>
      </c>
    </row>
    <row r="313" customFormat="false" ht="15" hidden="false" customHeight="false" outlineLevel="0" collapsed="false">
      <c r="A313" s="3"/>
      <c r="B313" s="3"/>
      <c r="C313" s="3"/>
      <c r="D313" s="3" t="str">
        <f aca="false">IF($B313="","",IFERROR(LOOKUP(2^15,SEARCH(Rules!$A$2:$A$200&amp;"",$B313)/(Rules!$A$2:$A$200&lt;&gt;""),Rules!$B$2:$B$200),"Uncategorized"))</f>
        <v/>
      </c>
      <c r="E313" s="3" t="str">
        <f aca="false">IF($B313="","",IF($C313&gt;=0,"Income","Expense"))</f>
        <v/>
      </c>
      <c r="F313" s="3" t="str">
        <f aca="false">IF($B313="","",IFERROR(LOOKUP(2^15,SEARCH(Rules!$A$2:$A$200&amp;"",$B313)/(Rules!$A$2:$A$200&lt;&gt;""),Rules!$A$2:$A$200),""))</f>
        <v/>
      </c>
      <c r="G313" s="3" t="str">
        <f aca="false">IF($B313="","",IF(D313="Uncategorized","⚠ Review",IF(IFERROR(LOOKUP(2^15,SEARCH(Rules!$A$2:$A$200&amp;"",$B313)/(Rules!$A$2:$A$200&lt;&gt;""),Rules!$C$2:$C$200),"")&lt;&gt;E313,"⚠ Check sign","OK")))</f>
        <v/>
      </c>
    </row>
    <row r="314" customFormat="false" ht="15" hidden="false" customHeight="false" outlineLevel="0" collapsed="false">
      <c r="A314" s="3"/>
      <c r="B314" s="3"/>
      <c r="C314" s="3"/>
      <c r="D314" s="3" t="str">
        <f aca="false">IF($B314="","",IFERROR(LOOKUP(2^15,SEARCH(Rules!$A$2:$A$200&amp;"",$B314)/(Rules!$A$2:$A$200&lt;&gt;""),Rules!$B$2:$B$200),"Uncategorized"))</f>
        <v/>
      </c>
      <c r="E314" s="3" t="str">
        <f aca="false">IF($B314="","",IF($C314&gt;=0,"Income","Expense"))</f>
        <v/>
      </c>
      <c r="F314" s="3" t="str">
        <f aca="false">IF($B314="","",IFERROR(LOOKUP(2^15,SEARCH(Rules!$A$2:$A$200&amp;"",$B314)/(Rules!$A$2:$A$200&lt;&gt;""),Rules!$A$2:$A$200),""))</f>
        <v/>
      </c>
      <c r="G314" s="3" t="str">
        <f aca="false">IF($B314="","",IF(D314="Uncategorized","⚠ Review",IF(IFERROR(LOOKUP(2^15,SEARCH(Rules!$A$2:$A$200&amp;"",$B314)/(Rules!$A$2:$A$200&lt;&gt;""),Rules!$C$2:$C$200),"")&lt;&gt;E314,"⚠ Check sign","OK")))</f>
        <v/>
      </c>
    </row>
    <row r="315" customFormat="false" ht="15" hidden="false" customHeight="false" outlineLevel="0" collapsed="false">
      <c r="A315" s="3"/>
      <c r="B315" s="3"/>
      <c r="C315" s="3"/>
      <c r="D315" s="3" t="str">
        <f aca="false">IF($B315="","",IFERROR(LOOKUP(2^15,SEARCH(Rules!$A$2:$A$200&amp;"",$B315)/(Rules!$A$2:$A$200&lt;&gt;""),Rules!$B$2:$B$200),"Uncategorized"))</f>
        <v/>
      </c>
      <c r="E315" s="3" t="str">
        <f aca="false">IF($B315="","",IF($C315&gt;=0,"Income","Expense"))</f>
        <v/>
      </c>
      <c r="F315" s="3" t="str">
        <f aca="false">IF($B315="","",IFERROR(LOOKUP(2^15,SEARCH(Rules!$A$2:$A$200&amp;"",$B315)/(Rules!$A$2:$A$200&lt;&gt;""),Rules!$A$2:$A$200),""))</f>
        <v/>
      </c>
      <c r="G315" s="3" t="str">
        <f aca="false">IF($B315="","",IF(D315="Uncategorized","⚠ Review",IF(IFERROR(LOOKUP(2^15,SEARCH(Rules!$A$2:$A$200&amp;"",$B315)/(Rules!$A$2:$A$200&lt;&gt;""),Rules!$C$2:$C$200),"")&lt;&gt;E315,"⚠ Check sign","OK")))</f>
        <v/>
      </c>
    </row>
    <row r="316" customFormat="false" ht="15" hidden="false" customHeight="false" outlineLevel="0" collapsed="false">
      <c r="A316" s="3"/>
      <c r="B316" s="3"/>
      <c r="C316" s="3"/>
      <c r="D316" s="3" t="str">
        <f aca="false">IF($B316="","",IFERROR(LOOKUP(2^15,SEARCH(Rules!$A$2:$A$200&amp;"",$B316)/(Rules!$A$2:$A$200&lt;&gt;""),Rules!$B$2:$B$200),"Uncategorized"))</f>
        <v/>
      </c>
      <c r="E316" s="3" t="str">
        <f aca="false">IF($B316="","",IF($C316&gt;=0,"Income","Expense"))</f>
        <v/>
      </c>
      <c r="F316" s="3" t="str">
        <f aca="false">IF($B316="","",IFERROR(LOOKUP(2^15,SEARCH(Rules!$A$2:$A$200&amp;"",$B316)/(Rules!$A$2:$A$200&lt;&gt;""),Rules!$A$2:$A$200),""))</f>
        <v/>
      </c>
      <c r="G316" s="3" t="str">
        <f aca="false">IF($B316="","",IF(D316="Uncategorized","⚠ Review",IF(IFERROR(LOOKUP(2^15,SEARCH(Rules!$A$2:$A$200&amp;"",$B316)/(Rules!$A$2:$A$200&lt;&gt;""),Rules!$C$2:$C$200),"")&lt;&gt;E316,"⚠ Check sign","OK")))</f>
        <v/>
      </c>
    </row>
    <row r="317" customFormat="false" ht="15" hidden="false" customHeight="false" outlineLevel="0" collapsed="false">
      <c r="A317" s="3"/>
      <c r="B317" s="3"/>
      <c r="C317" s="3"/>
      <c r="D317" s="3" t="str">
        <f aca="false">IF($B317="","",IFERROR(LOOKUP(2^15,SEARCH(Rules!$A$2:$A$200&amp;"",$B317)/(Rules!$A$2:$A$200&lt;&gt;""),Rules!$B$2:$B$200),"Uncategorized"))</f>
        <v/>
      </c>
      <c r="E317" s="3" t="str">
        <f aca="false">IF($B317="","",IF($C317&gt;=0,"Income","Expense"))</f>
        <v/>
      </c>
      <c r="F317" s="3" t="str">
        <f aca="false">IF($B317="","",IFERROR(LOOKUP(2^15,SEARCH(Rules!$A$2:$A$200&amp;"",$B317)/(Rules!$A$2:$A$200&lt;&gt;""),Rules!$A$2:$A$200),""))</f>
        <v/>
      </c>
      <c r="G317" s="3" t="str">
        <f aca="false">IF($B317="","",IF(D317="Uncategorized","⚠ Review",IF(IFERROR(LOOKUP(2^15,SEARCH(Rules!$A$2:$A$200&amp;"",$B317)/(Rules!$A$2:$A$200&lt;&gt;""),Rules!$C$2:$C$200),"")&lt;&gt;E317,"⚠ Check sign","OK")))</f>
        <v/>
      </c>
    </row>
    <row r="318" customFormat="false" ht="15" hidden="false" customHeight="false" outlineLevel="0" collapsed="false">
      <c r="A318" s="3"/>
      <c r="B318" s="3"/>
      <c r="C318" s="3"/>
      <c r="D318" s="3" t="str">
        <f aca="false">IF($B318="","",IFERROR(LOOKUP(2^15,SEARCH(Rules!$A$2:$A$200&amp;"",$B318)/(Rules!$A$2:$A$200&lt;&gt;""),Rules!$B$2:$B$200),"Uncategorized"))</f>
        <v/>
      </c>
      <c r="E318" s="3" t="str">
        <f aca="false">IF($B318="","",IF($C318&gt;=0,"Income","Expense"))</f>
        <v/>
      </c>
      <c r="F318" s="3" t="str">
        <f aca="false">IF($B318="","",IFERROR(LOOKUP(2^15,SEARCH(Rules!$A$2:$A$200&amp;"",$B318)/(Rules!$A$2:$A$200&lt;&gt;""),Rules!$A$2:$A$200),""))</f>
        <v/>
      </c>
      <c r="G318" s="3" t="str">
        <f aca="false">IF($B318="","",IF(D318="Uncategorized","⚠ Review",IF(IFERROR(LOOKUP(2^15,SEARCH(Rules!$A$2:$A$200&amp;"",$B318)/(Rules!$A$2:$A$200&lt;&gt;""),Rules!$C$2:$C$200),"")&lt;&gt;E318,"⚠ Check sign","OK")))</f>
        <v/>
      </c>
    </row>
    <row r="319" customFormat="false" ht="15" hidden="false" customHeight="false" outlineLevel="0" collapsed="false">
      <c r="A319" s="3"/>
      <c r="B319" s="3"/>
      <c r="C319" s="3"/>
      <c r="D319" s="3" t="str">
        <f aca="false">IF($B319="","",IFERROR(LOOKUP(2^15,SEARCH(Rules!$A$2:$A$200&amp;"",$B319)/(Rules!$A$2:$A$200&lt;&gt;""),Rules!$B$2:$B$200),"Uncategorized"))</f>
        <v/>
      </c>
      <c r="E319" s="3" t="str">
        <f aca="false">IF($B319="","",IF($C319&gt;=0,"Income","Expense"))</f>
        <v/>
      </c>
      <c r="F319" s="3" t="str">
        <f aca="false">IF($B319="","",IFERROR(LOOKUP(2^15,SEARCH(Rules!$A$2:$A$200&amp;"",$B319)/(Rules!$A$2:$A$200&lt;&gt;""),Rules!$A$2:$A$200),""))</f>
        <v/>
      </c>
      <c r="G319" s="3" t="str">
        <f aca="false">IF($B319="","",IF(D319="Uncategorized","⚠ Review",IF(IFERROR(LOOKUP(2^15,SEARCH(Rules!$A$2:$A$200&amp;"",$B319)/(Rules!$A$2:$A$200&lt;&gt;""),Rules!$C$2:$C$200),"")&lt;&gt;E319,"⚠ Check sign","OK")))</f>
        <v/>
      </c>
    </row>
    <row r="320" customFormat="false" ht="15" hidden="false" customHeight="false" outlineLevel="0" collapsed="false">
      <c r="A320" s="3"/>
      <c r="B320" s="3"/>
      <c r="C320" s="3"/>
      <c r="D320" s="3" t="str">
        <f aca="false">IF($B320="","",IFERROR(LOOKUP(2^15,SEARCH(Rules!$A$2:$A$200&amp;"",$B320)/(Rules!$A$2:$A$200&lt;&gt;""),Rules!$B$2:$B$200),"Uncategorized"))</f>
        <v/>
      </c>
      <c r="E320" s="3" t="str">
        <f aca="false">IF($B320="","",IF($C320&gt;=0,"Income","Expense"))</f>
        <v/>
      </c>
      <c r="F320" s="3" t="str">
        <f aca="false">IF($B320="","",IFERROR(LOOKUP(2^15,SEARCH(Rules!$A$2:$A$200&amp;"",$B320)/(Rules!$A$2:$A$200&lt;&gt;""),Rules!$A$2:$A$200),""))</f>
        <v/>
      </c>
      <c r="G320" s="3" t="str">
        <f aca="false">IF($B320="","",IF(D320="Uncategorized","⚠ Review",IF(IFERROR(LOOKUP(2^15,SEARCH(Rules!$A$2:$A$200&amp;"",$B320)/(Rules!$A$2:$A$200&lt;&gt;""),Rules!$C$2:$C$200),"")&lt;&gt;E320,"⚠ Check sign","OK")))</f>
        <v/>
      </c>
    </row>
    <row r="321" customFormat="false" ht="15" hidden="false" customHeight="false" outlineLevel="0" collapsed="false">
      <c r="A321" s="3"/>
      <c r="B321" s="3"/>
      <c r="C321" s="3"/>
      <c r="D321" s="3" t="str">
        <f aca="false">IF($B321="","",IFERROR(LOOKUP(2^15,SEARCH(Rules!$A$2:$A$200&amp;"",$B321)/(Rules!$A$2:$A$200&lt;&gt;""),Rules!$B$2:$B$200),"Uncategorized"))</f>
        <v/>
      </c>
      <c r="E321" s="3" t="str">
        <f aca="false">IF($B321="","",IF($C321&gt;=0,"Income","Expense"))</f>
        <v/>
      </c>
      <c r="F321" s="3" t="str">
        <f aca="false">IF($B321="","",IFERROR(LOOKUP(2^15,SEARCH(Rules!$A$2:$A$200&amp;"",$B321)/(Rules!$A$2:$A$200&lt;&gt;""),Rules!$A$2:$A$200),""))</f>
        <v/>
      </c>
      <c r="G321" s="3" t="str">
        <f aca="false">IF($B321="","",IF(D321="Uncategorized","⚠ Review",IF(IFERROR(LOOKUP(2^15,SEARCH(Rules!$A$2:$A$200&amp;"",$B321)/(Rules!$A$2:$A$200&lt;&gt;""),Rules!$C$2:$C$200),"")&lt;&gt;E321,"⚠ Check sign","OK")))</f>
        <v/>
      </c>
    </row>
    <row r="322" customFormat="false" ht="15" hidden="false" customHeight="false" outlineLevel="0" collapsed="false">
      <c r="A322" s="3"/>
      <c r="B322" s="3"/>
      <c r="C322" s="3"/>
      <c r="D322" s="3" t="str">
        <f aca="false">IF($B322="","",IFERROR(LOOKUP(2^15,SEARCH(Rules!$A$2:$A$200&amp;"",$B322)/(Rules!$A$2:$A$200&lt;&gt;""),Rules!$B$2:$B$200),"Uncategorized"))</f>
        <v/>
      </c>
      <c r="E322" s="3" t="str">
        <f aca="false">IF($B322="","",IF($C322&gt;=0,"Income","Expense"))</f>
        <v/>
      </c>
      <c r="F322" s="3" t="str">
        <f aca="false">IF($B322="","",IFERROR(LOOKUP(2^15,SEARCH(Rules!$A$2:$A$200&amp;"",$B322)/(Rules!$A$2:$A$200&lt;&gt;""),Rules!$A$2:$A$200),""))</f>
        <v/>
      </c>
      <c r="G322" s="3" t="str">
        <f aca="false">IF($B322="","",IF(D322="Uncategorized","⚠ Review",IF(IFERROR(LOOKUP(2^15,SEARCH(Rules!$A$2:$A$200&amp;"",$B322)/(Rules!$A$2:$A$200&lt;&gt;""),Rules!$C$2:$C$200),"")&lt;&gt;E322,"⚠ Check sign","OK")))</f>
        <v/>
      </c>
    </row>
    <row r="323" customFormat="false" ht="15" hidden="false" customHeight="false" outlineLevel="0" collapsed="false">
      <c r="A323" s="3"/>
      <c r="B323" s="3"/>
      <c r="C323" s="3"/>
      <c r="D323" s="3" t="str">
        <f aca="false">IF($B323="","",IFERROR(LOOKUP(2^15,SEARCH(Rules!$A$2:$A$200&amp;"",$B323)/(Rules!$A$2:$A$200&lt;&gt;""),Rules!$B$2:$B$200),"Uncategorized"))</f>
        <v/>
      </c>
      <c r="E323" s="3" t="str">
        <f aca="false">IF($B323="","",IF($C323&gt;=0,"Income","Expense"))</f>
        <v/>
      </c>
      <c r="F323" s="3" t="str">
        <f aca="false">IF($B323="","",IFERROR(LOOKUP(2^15,SEARCH(Rules!$A$2:$A$200&amp;"",$B323)/(Rules!$A$2:$A$200&lt;&gt;""),Rules!$A$2:$A$200),""))</f>
        <v/>
      </c>
      <c r="G323" s="3" t="str">
        <f aca="false">IF($B323="","",IF(D323="Uncategorized","⚠ Review",IF(IFERROR(LOOKUP(2^15,SEARCH(Rules!$A$2:$A$200&amp;"",$B323)/(Rules!$A$2:$A$200&lt;&gt;""),Rules!$C$2:$C$200),"")&lt;&gt;E323,"⚠ Check sign","OK")))</f>
        <v/>
      </c>
    </row>
    <row r="324" customFormat="false" ht="15" hidden="false" customHeight="false" outlineLevel="0" collapsed="false">
      <c r="A324" s="3"/>
      <c r="B324" s="3"/>
      <c r="C324" s="3"/>
      <c r="D324" s="3" t="str">
        <f aca="false">IF($B324="","",IFERROR(LOOKUP(2^15,SEARCH(Rules!$A$2:$A$200&amp;"",$B324)/(Rules!$A$2:$A$200&lt;&gt;""),Rules!$B$2:$B$200),"Uncategorized"))</f>
        <v/>
      </c>
      <c r="E324" s="3" t="str">
        <f aca="false">IF($B324="","",IF($C324&gt;=0,"Income","Expense"))</f>
        <v/>
      </c>
      <c r="F324" s="3" t="str">
        <f aca="false">IF($B324="","",IFERROR(LOOKUP(2^15,SEARCH(Rules!$A$2:$A$200&amp;"",$B324)/(Rules!$A$2:$A$200&lt;&gt;""),Rules!$A$2:$A$200),""))</f>
        <v/>
      </c>
      <c r="G324" s="3" t="str">
        <f aca="false">IF($B324="","",IF(D324="Uncategorized","⚠ Review",IF(IFERROR(LOOKUP(2^15,SEARCH(Rules!$A$2:$A$200&amp;"",$B324)/(Rules!$A$2:$A$200&lt;&gt;""),Rules!$C$2:$C$200),"")&lt;&gt;E324,"⚠ Check sign","OK")))</f>
        <v/>
      </c>
    </row>
    <row r="325" customFormat="false" ht="15" hidden="false" customHeight="false" outlineLevel="0" collapsed="false">
      <c r="A325" s="3"/>
      <c r="B325" s="3"/>
      <c r="C325" s="3"/>
      <c r="D325" s="3" t="str">
        <f aca="false">IF($B325="","",IFERROR(LOOKUP(2^15,SEARCH(Rules!$A$2:$A$200&amp;"",$B325)/(Rules!$A$2:$A$200&lt;&gt;""),Rules!$B$2:$B$200),"Uncategorized"))</f>
        <v/>
      </c>
      <c r="E325" s="3" t="str">
        <f aca="false">IF($B325="","",IF($C325&gt;=0,"Income","Expense"))</f>
        <v/>
      </c>
      <c r="F325" s="3" t="str">
        <f aca="false">IF($B325="","",IFERROR(LOOKUP(2^15,SEARCH(Rules!$A$2:$A$200&amp;"",$B325)/(Rules!$A$2:$A$200&lt;&gt;""),Rules!$A$2:$A$200),""))</f>
        <v/>
      </c>
      <c r="G325" s="3" t="str">
        <f aca="false">IF($B325="","",IF(D325="Uncategorized","⚠ Review",IF(IFERROR(LOOKUP(2^15,SEARCH(Rules!$A$2:$A$200&amp;"",$B325)/(Rules!$A$2:$A$200&lt;&gt;""),Rules!$C$2:$C$200),"")&lt;&gt;E325,"⚠ Check sign","OK")))</f>
        <v/>
      </c>
    </row>
    <row r="326" customFormat="false" ht="15" hidden="false" customHeight="false" outlineLevel="0" collapsed="false">
      <c r="A326" s="3"/>
      <c r="B326" s="3"/>
      <c r="C326" s="3"/>
      <c r="D326" s="3" t="str">
        <f aca="false">IF($B326="","",IFERROR(LOOKUP(2^15,SEARCH(Rules!$A$2:$A$200&amp;"",$B326)/(Rules!$A$2:$A$200&lt;&gt;""),Rules!$B$2:$B$200),"Uncategorized"))</f>
        <v/>
      </c>
      <c r="E326" s="3" t="str">
        <f aca="false">IF($B326="","",IF($C326&gt;=0,"Income","Expense"))</f>
        <v/>
      </c>
      <c r="F326" s="3" t="str">
        <f aca="false">IF($B326="","",IFERROR(LOOKUP(2^15,SEARCH(Rules!$A$2:$A$200&amp;"",$B326)/(Rules!$A$2:$A$200&lt;&gt;""),Rules!$A$2:$A$200),""))</f>
        <v/>
      </c>
      <c r="G326" s="3" t="str">
        <f aca="false">IF($B326="","",IF(D326="Uncategorized","⚠ Review",IF(IFERROR(LOOKUP(2^15,SEARCH(Rules!$A$2:$A$200&amp;"",$B326)/(Rules!$A$2:$A$200&lt;&gt;""),Rules!$C$2:$C$200),"")&lt;&gt;E326,"⚠ Check sign","OK")))</f>
        <v/>
      </c>
    </row>
    <row r="327" customFormat="false" ht="15" hidden="false" customHeight="false" outlineLevel="0" collapsed="false">
      <c r="A327" s="3"/>
      <c r="B327" s="3"/>
      <c r="C327" s="3"/>
      <c r="D327" s="3" t="str">
        <f aca="false">IF($B327="","",IFERROR(LOOKUP(2^15,SEARCH(Rules!$A$2:$A$200&amp;"",$B327)/(Rules!$A$2:$A$200&lt;&gt;""),Rules!$B$2:$B$200),"Uncategorized"))</f>
        <v/>
      </c>
      <c r="E327" s="3" t="str">
        <f aca="false">IF($B327="","",IF($C327&gt;=0,"Income","Expense"))</f>
        <v/>
      </c>
      <c r="F327" s="3" t="str">
        <f aca="false">IF($B327="","",IFERROR(LOOKUP(2^15,SEARCH(Rules!$A$2:$A$200&amp;"",$B327)/(Rules!$A$2:$A$200&lt;&gt;""),Rules!$A$2:$A$200),""))</f>
        <v/>
      </c>
      <c r="G327" s="3" t="str">
        <f aca="false">IF($B327="","",IF(D327="Uncategorized","⚠ Review",IF(IFERROR(LOOKUP(2^15,SEARCH(Rules!$A$2:$A$200&amp;"",$B327)/(Rules!$A$2:$A$200&lt;&gt;""),Rules!$C$2:$C$200),"")&lt;&gt;E327,"⚠ Check sign","OK")))</f>
        <v/>
      </c>
    </row>
    <row r="328" customFormat="false" ht="15" hidden="false" customHeight="false" outlineLevel="0" collapsed="false">
      <c r="A328" s="3"/>
      <c r="B328" s="3"/>
      <c r="C328" s="3"/>
      <c r="D328" s="3" t="str">
        <f aca="false">IF($B328="","",IFERROR(LOOKUP(2^15,SEARCH(Rules!$A$2:$A$200&amp;"",$B328)/(Rules!$A$2:$A$200&lt;&gt;""),Rules!$B$2:$B$200),"Uncategorized"))</f>
        <v/>
      </c>
      <c r="E328" s="3" t="str">
        <f aca="false">IF($B328="","",IF($C328&gt;=0,"Income","Expense"))</f>
        <v/>
      </c>
      <c r="F328" s="3" t="str">
        <f aca="false">IF($B328="","",IFERROR(LOOKUP(2^15,SEARCH(Rules!$A$2:$A$200&amp;"",$B328)/(Rules!$A$2:$A$200&lt;&gt;""),Rules!$A$2:$A$200),""))</f>
        <v/>
      </c>
      <c r="G328" s="3" t="str">
        <f aca="false">IF($B328="","",IF(D328="Uncategorized","⚠ Review",IF(IFERROR(LOOKUP(2^15,SEARCH(Rules!$A$2:$A$200&amp;"",$B328)/(Rules!$A$2:$A$200&lt;&gt;""),Rules!$C$2:$C$200),"")&lt;&gt;E328,"⚠ Check sign","OK")))</f>
        <v/>
      </c>
    </row>
    <row r="329" customFormat="false" ht="15" hidden="false" customHeight="false" outlineLevel="0" collapsed="false">
      <c r="A329" s="3"/>
      <c r="B329" s="3"/>
      <c r="C329" s="3"/>
      <c r="D329" s="3" t="str">
        <f aca="false">IF($B329="","",IFERROR(LOOKUP(2^15,SEARCH(Rules!$A$2:$A$200&amp;"",$B329)/(Rules!$A$2:$A$200&lt;&gt;""),Rules!$B$2:$B$200),"Uncategorized"))</f>
        <v/>
      </c>
      <c r="E329" s="3" t="str">
        <f aca="false">IF($B329="","",IF($C329&gt;=0,"Income","Expense"))</f>
        <v/>
      </c>
      <c r="F329" s="3" t="str">
        <f aca="false">IF($B329="","",IFERROR(LOOKUP(2^15,SEARCH(Rules!$A$2:$A$200&amp;"",$B329)/(Rules!$A$2:$A$200&lt;&gt;""),Rules!$A$2:$A$200),""))</f>
        <v/>
      </c>
      <c r="G329" s="3" t="str">
        <f aca="false">IF($B329="","",IF(D329="Uncategorized","⚠ Review",IF(IFERROR(LOOKUP(2^15,SEARCH(Rules!$A$2:$A$200&amp;"",$B329)/(Rules!$A$2:$A$200&lt;&gt;""),Rules!$C$2:$C$200),"")&lt;&gt;E329,"⚠ Check sign","OK")))</f>
        <v/>
      </c>
    </row>
    <row r="330" customFormat="false" ht="15" hidden="false" customHeight="false" outlineLevel="0" collapsed="false">
      <c r="A330" s="3"/>
      <c r="B330" s="3"/>
      <c r="C330" s="3"/>
      <c r="D330" s="3" t="str">
        <f aca="false">IF($B330="","",IFERROR(LOOKUP(2^15,SEARCH(Rules!$A$2:$A$200&amp;"",$B330)/(Rules!$A$2:$A$200&lt;&gt;""),Rules!$B$2:$B$200),"Uncategorized"))</f>
        <v/>
      </c>
      <c r="E330" s="3" t="str">
        <f aca="false">IF($B330="","",IF($C330&gt;=0,"Income","Expense"))</f>
        <v/>
      </c>
      <c r="F330" s="3" t="str">
        <f aca="false">IF($B330="","",IFERROR(LOOKUP(2^15,SEARCH(Rules!$A$2:$A$200&amp;"",$B330)/(Rules!$A$2:$A$200&lt;&gt;""),Rules!$A$2:$A$200),""))</f>
        <v/>
      </c>
      <c r="G330" s="3" t="str">
        <f aca="false">IF($B330="","",IF(D330="Uncategorized","⚠ Review",IF(IFERROR(LOOKUP(2^15,SEARCH(Rules!$A$2:$A$200&amp;"",$B330)/(Rules!$A$2:$A$200&lt;&gt;""),Rules!$C$2:$C$200),"")&lt;&gt;E330,"⚠ Check sign","OK")))</f>
        <v/>
      </c>
    </row>
    <row r="331" customFormat="false" ht="15" hidden="false" customHeight="false" outlineLevel="0" collapsed="false">
      <c r="A331" s="3"/>
      <c r="B331" s="3"/>
      <c r="C331" s="3"/>
      <c r="D331" s="3" t="str">
        <f aca="false">IF($B331="","",IFERROR(LOOKUP(2^15,SEARCH(Rules!$A$2:$A$200&amp;"",$B331)/(Rules!$A$2:$A$200&lt;&gt;""),Rules!$B$2:$B$200),"Uncategorized"))</f>
        <v/>
      </c>
      <c r="E331" s="3" t="str">
        <f aca="false">IF($B331="","",IF($C331&gt;=0,"Income","Expense"))</f>
        <v/>
      </c>
      <c r="F331" s="3" t="str">
        <f aca="false">IF($B331="","",IFERROR(LOOKUP(2^15,SEARCH(Rules!$A$2:$A$200&amp;"",$B331)/(Rules!$A$2:$A$200&lt;&gt;""),Rules!$A$2:$A$200),""))</f>
        <v/>
      </c>
      <c r="G331" s="3" t="str">
        <f aca="false">IF($B331="","",IF(D331="Uncategorized","⚠ Review",IF(IFERROR(LOOKUP(2^15,SEARCH(Rules!$A$2:$A$200&amp;"",$B331)/(Rules!$A$2:$A$200&lt;&gt;""),Rules!$C$2:$C$200),"")&lt;&gt;E331,"⚠ Check sign","OK")))</f>
        <v/>
      </c>
    </row>
    <row r="332" customFormat="false" ht="15" hidden="false" customHeight="false" outlineLevel="0" collapsed="false">
      <c r="A332" s="3"/>
      <c r="B332" s="3"/>
      <c r="C332" s="3"/>
      <c r="D332" s="3" t="str">
        <f aca="false">IF($B332="","",IFERROR(LOOKUP(2^15,SEARCH(Rules!$A$2:$A$200&amp;"",$B332)/(Rules!$A$2:$A$200&lt;&gt;""),Rules!$B$2:$B$200),"Uncategorized"))</f>
        <v/>
      </c>
      <c r="E332" s="3" t="str">
        <f aca="false">IF($B332="","",IF($C332&gt;=0,"Income","Expense"))</f>
        <v/>
      </c>
      <c r="F332" s="3" t="str">
        <f aca="false">IF($B332="","",IFERROR(LOOKUP(2^15,SEARCH(Rules!$A$2:$A$200&amp;"",$B332)/(Rules!$A$2:$A$200&lt;&gt;""),Rules!$A$2:$A$200),""))</f>
        <v/>
      </c>
      <c r="G332" s="3" t="str">
        <f aca="false">IF($B332="","",IF(D332="Uncategorized","⚠ Review",IF(IFERROR(LOOKUP(2^15,SEARCH(Rules!$A$2:$A$200&amp;"",$B332)/(Rules!$A$2:$A$200&lt;&gt;""),Rules!$C$2:$C$200),"")&lt;&gt;E332,"⚠ Check sign","OK")))</f>
        <v/>
      </c>
    </row>
    <row r="333" customFormat="false" ht="15" hidden="false" customHeight="false" outlineLevel="0" collapsed="false">
      <c r="A333" s="3"/>
      <c r="B333" s="3"/>
      <c r="C333" s="3"/>
      <c r="D333" s="3" t="str">
        <f aca="false">IF($B333="","",IFERROR(LOOKUP(2^15,SEARCH(Rules!$A$2:$A$200&amp;"",$B333)/(Rules!$A$2:$A$200&lt;&gt;""),Rules!$B$2:$B$200),"Uncategorized"))</f>
        <v/>
      </c>
      <c r="E333" s="3" t="str">
        <f aca="false">IF($B333="","",IF($C333&gt;=0,"Income","Expense"))</f>
        <v/>
      </c>
      <c r="F333" s="3" t="str">
        <f aca="false">IF($B333="","",IFERROR(LOOKUP(2^15,SEARCH(Rules!$A$2:$A$200&amp;"",$B333)/(Rules!$A$2:$A$200&lt;&gt;""),Rules!$A$2:$A$200),""))</f>
        <v/>
      </c>
      <c r="G333" s="3" t="str">
        <f aca="false">IF($B333="","",IF(D333="Uncategorized","⚠ Review",IF(IFERROR(LOOKUP(2^15,SEARCH(Rules!$A$2:$A$200&amp;"",$B333)/(Rules!$A$2:$A$200&lt;&gt;""),Rules!$C$2:$C$200),"")&lt;&gt;E333,"⚠ Check sign","OK")))</f>
        <v/>
      </c>
    </row>
    <row r="334" customFormat="false" ht="15" hidden="false" customHeight="false" outlineLevel="0" collapsed="false">
      <c r="A334" s="3"/>
      <c r="B334" s="3"/>
      <c r="C334" s="3"/>
      <c r="D334" s="3" t="str">
        <f aca="false">IF($B334="","",IFERROR(LOOKUP(2^15,SEARCH(Rules!$A$2:$A$200&amp;"",$B334)/(Rules!$A$2:$A$200&lt;&gt;""),Rules!$B$2:$B$200),"Uncategorized"))</f>
        <v/>
      </c>
      <c r="E334" s="3" t="str">
        <f aca="false">IF($B334="","",IF($C334&gt;=0,"Income","Expense"))</f>
        <v/>
      </c>
      <c r="F334" s="3" t="str">
        <f aca="false">IF($B334="","",IFERROR(LOOKUP(2^15,SEARCH(Rules!$A$2:$A$200&amp;"",$B334)/(Rules!$A$2:$A$200&lt;&gt;""),Rules!$A$2:$A$200),""))</f>
        <v/>
      </c>
      <c r="G334" s="3" t="str">
        <f aca="false">IF($B334="","",IF(D334="Uncategorized","⚠ Review",IF(IFERROR(LOOKUP(2^15,SEARCH(Rules!$A$2:$A$200&amp;"",$B334)/(Rules!$A$2:$A$200&lt;&gt;""),Rules!$C$2:$C$200),"")&lt;&gt;E334,"⚠ Check sign","OK")))</f>
        <v/>
      </c>
    </row>
    <row r="335" customFormat="false" ht="15" hidden="false" customHeight="false" outlineLevel="0" collapsed="false">
      <c r="A335" s="3"/>
      <c r="B335" s="3"/>
      <c r="C335" s="3"/>
      <c r="D335" s="3" t="str">
        <f aca="false">IF($B335="","",IFERROR(LOOKUP(2^15,SEARCH(Rules!$A$2:$A$200&amp;"",$B335)/(Rules!$A$2:$A$200&lt;&gt;""),Rules!$B$2:$B$200),"Uncategorized"))</f>
        <v/>
      </c>
      <c r="E335" s="3" t="str">
        <f aca="false">IF($B335="","",IF($C335&gt;=0,"Income","Expense"))</f>
        <v/>
      </c>
      <c r="F335" s="3" t="str">
        <f aca="false">IF($B335="","",IFERROR(LOOKUP(2^15,SEARCH(Rules!$A$2:$A$200&amp;"",$B335)/(Rules!$A$2:$A$200&lt;&gt;""),Rules!$A$2:$A$200),""))</f>
        <v/>
      </c>
      <c r="G335" s="3" t="str">
        <f aca="false">IF($B335="","",IF(D335="Uncategorized","⚠ Review",IF(IFERROR(LOOKUP(2^15,SEARCH(Rules!$A$2:$A$200&amp;"",$B335)/(Rules!$A$2:$A$200&lt;&gt;""),Rules!$C$2:$C$200),"")&lt;&gt;E335,"⚠ Check sign","OK")))</f>
        <v/>
      </c>
    </row>
    <row r="336" customFormat="false" ht="15" hidden="false" customHeight="false" outlineLevel="0" collapsed="false">
      <c r="A336" s="3"/>
      <c r="B336" s="3"/>
      <c r="C336" s="3"/>
      <c r="D336" s="3" t="str">
        <f aca="false">IF($B336="","",IFERROR(LOOKUP(2^15,SEARCH(Rules!$A$2:$A$200&amp;"",$B336)/(Rules!$A$2:$A$200&lt;&gt;""),Rules!$B$2:$B$200),"Uncategorized"))</f>
        <v/>
      </c>
      <c r="E336" s="3" t="str">
        <f aca="false">IF($B336="","",IF($C336&gt;=0,"Income","Expense"))</f>
        <v/>
      </c>
      <c r="F336" s="3" t="str">
        <f aca="false">IF($B336="","",IFERROR(LOOKUP(2^15,SEARCH(Rules!$A$2:$A$200&amp;"",$B336)/(Rules!$A$2:$A$200&lt;&gt;""),Rules!$A$2:$A$200),""))</f>
        <v/>
      </c>
      <c r="G336" s="3" t="str">
        <f aca="false">IF($B336="","",IF(D336="Uncategorized","⚠ Review",IF(IFERROR(LOOKUP(2^15,SEARCH(Rules!$A$2:$A$200&amp;"",$B336)/(Rules!$A$2:$A$200&lt;&gt;""),Rules!$C$2:$C$200),"")&lt;&gt;E336,"⚠ Check sign","OK")))</f>
        <v/>
      </c>
    </row>
    <row r="337" customFormat="false" ht="15" hidden="false" customHeight="false" outlineLevel="0" collapsed="false">
      <c r="A337" s="3"/>
      <c r="B337" s="3"/>
      <c r="C337" s="3"/>
      <c r="D337" s="3" t="str">
        <f aca="false">IF($B337="","",IFERROR(LOOKUP(2^15,SEARCH(Rules!$A$2:$A$200&amp;"",$B337)/(Rules!$A$2:$A$200&lt;&gt;""),Rules!$B$2:$B$200),"Uncategorized"))</f>
        <v/>
      </c>
      <c r="E337" s="3" t="str">
        <f aca="false">IF($B337="","",IF($C337&gt;=0,"Income","Expense"))</f>
        <v/>
      </c>
      <c r="F337" s="3" t="str">
        <f aca="false">IF($B337="","",IFERROR(LOOKUP(2^15,SEARCH(Rules!$A$2:$A$200&amp;"",$B337)/(Rules!$A$2:$A$200&lt;&gt;""),Rules!$A$2:$A$200),""))</f>
        <v/>
      </c>
      <c r="G337" s="3" t="str">
        <f aca="false">IF($B337="","",IF(D337="Uncategorized","⚠ Review",IF(IFERROR(LOOKUP(2^15,SEARCH(Rules!$A$2:$A$200&amp;"",$B337)/(Rules!$A$2:$A$200&lt;&gt;""),Rules!$C$2:$C$200),"")&lt;&gt;E337,"⚠ Check sign","OK")))</f>
        <v/>
      </c>
    </row>
    <row r="338" customFormat="false" ht="15" hidden="false" customHeight="false" outlineLevel="0" collapsed="false">
      <c r="A338" s="3"/>
      <c r="B338" s="3"/>
      <c r="C338" s="3"/>
      <c r="D338" s="3" t="str">
        <f aca="false">IF($B338="","",IFERROR(LOOKUP(2^15,SEARCH(Rules!$A$2:$A$200&amp;"",$B338)/(Rules!$A$2:$A$200&lt;&gt;""),Rules!$B$2:$B$200),"Uncategorized"))</f>
        <v/>
      </c>
      <c r="E338" s="3" t="str">
        <f aca="false">IF($B338="","",IF($C338&gt;=0,"Income","Expense"))</f>
        <v/>
      </c>
      <c r="F338" s="3" t="str">
        <f aca="false">IF($B338="","",IFERROR(LOOKUP(2^15,SEARCH(Rules!$A$2:$A$200&amp;"",$B338)/(Rules!$A$2:$A$200&lt;&gt;""),Rules!$A$2:$A$200),""))</f>
        <v/>
      </c>
      <c r="G338" s="3" t="str">
        <f aca="false">IF($B338="","",IF(D338="Uncategorized","⚠ Review",IF(IFERROR(LOOKUP(2^15,SEARCH(Rules!$A$2:$A$200&amp;"",$B338)/(Rules!$A$2:$A$200&lt;&gt;""),Rules!$C$2:$C$200),"")&lt;&gt;E338,"⚠ Check sign","OK")))</f>
        <v/>
      </c>
    </row>
    <row r="339" customFormat="false" ht="15" hidden="false" customHeight="false" outlineLevel="0" collapsed="false">
      <c r="A339" s="3"/>
      <c r="B339" s="3"/>
      <c r="C339" s="3"/>
      <c r="D339" s="3" t="str">
        <f aca="false">IF($B339="","",IFERROR(LOOKUP(2^15,SEARCH(Rules!$A$2:$A$200&amp;"",$B339)/(Rules!$A$2:$A$200&lt;&gt;""),Rules!$B$2:$B$200),"Uncategorized"))</f>
        <v/>
      </c>
      <c r="E339" s="3" t="str">
        <f aca="false">IF($B339="","",IF($C339&gt;=0,"Income","Expense"))</f>
        <v/>
      </c>
      <c r="F339" s="3" t="str">
        <f aca="false">IF($B339="","",IFERROR(LOOKUP(2^15,SEARCH(Rules!$A$2:$A$200&amp;"",$B339)/(Rules!$A$2:$A$200&lt;&gt;""),Rules!$A$2:$A$200),""))</f>
        <v/>
      </c>
      <c r="G339" s="3" t="str">
        <f aca="false">IF($B339="","",IF(D339="Uncategorized","⚠ Review",IF(IFERROR(LOOKUP(2^15,SEARCH(Rules!$A$2:$A$200&amp;"",$B339)/(Rules!$A$2:$A$200&lt;&gt;""),Rules!$C$2:$C$200),"")&lt;&gt;E339,"⚠ Check sign","OK")))</f>
        <v/>
      </c>
    </row>
    <row r="340" customFormat="false" ht="15" hidden="false" customHeight="false" outlineLevel="0" collapsed="false">
      <c r="A340" s="3"/>
      <c r="B340" s="3"/>
      <c r="C340" s="3"/>
      <c r="D340" s="3" t="str">
        <f aca="false">IF($B340="","",IFERROR(LOOKUP(2^15,SEARCH(Rules!$A$2:$A$200&amp;"",$B340)/(Rules!$A$2:$A$200&lt;&gt;""),Rules!$B$2:$B$200),"Uncategorized"))</f>
        <v/>
      </c>
      <c r="E340" s="3" t="str">
        <f aca="false">IF($B340="","",IF($C340&gt;=0,"Income","Expense"))</f>
        <v/>
      </c>
      <c r="F340" s="3" t="str">
        <f aca="false">IF($B340="","",IFERROR(LOOKUP(2^15,SEARCH(Rules!$A$2:$A$200&amp;"",$B340)/(Rules!$A$2:$A$200&lt;&gt;""),Rules!$A$2:$A$200),""))</f>
        <v/>
      </c>
      <c r="G340" s="3" t="str">
        <f aca="false">IF($B340="","",IF(D340="Uncategorized","⚠ Review",IF(IFERROR(LOOKUP(2^15,SEARCH(Rules!$A$2:$A$200&amp;"",$B340)/(Rules!$A$2:$A$200&lt;&gt;""),Rules!$C$2:$C$200),"")&lt;&gt;E340,"⚠ Check sign","OK")))</f>
        <v/>
      </c>
    </row>
    <row r="341" customFormat="false" ht="15" hidden="false" customHeight="false" outlineLevel="0" collapsed="false">
      <c r="A341" s="3"/>
      <c r="B341" s="3"/>
      <c r="C341" s="3"/>
      <c r="D341" s="3" t="str">
        <f aca="false">IF($B341="","",IFERROR(LOOKUP(2^15,SEARCH(Rules!$A$2:$A$200&amp;"",$B341)/(Rules!$A$2:$A$200&lt;&gt;""),Rules!$B$2:$B$200),"Uncategorized"))</f>
        <v/>
      </c>
      <c r="E341" s="3" t="str">
        <f aca="false">IF($B341="","",IF($C341&gt;=0,"Income","Expense"))</f>
        <v/>
      </c>
      <c r="F341" s="3" t="str">
        <f aca="false">IF($B341="","",IFERROR(LOOKUP(2^15,SEARCH(Rules!$A$2:$A$200&amp;"",$B341)/(Rules!$A$2:$A$200&lt;&gt;""),Rules!$A$2:$A$200),""))</f>
        <v/>
      </c>
      <c r="G341" s="3" t="str">
        <f aca="false">IF($B341="","",IF(D341="Uncategorized","⚠ Review",IF(IFERROR(LOOKUP(2^15,SEARCH(Rules!$A$2:$A$200&amp;"",$B341)/(Rules!$A$2:$A$200&lt;&gt;""),Rules!$C$2:$C$200),"")&lt;&gt;E341,"⚠ Check sign","OK")))</f>
        <v/>
      </c>
    </row>
    <row r="342" customFormat="false" ht="15" hidden="false" customHeight="false" outlineLevel="0" collapsed="false">
      <c r="A342" s="3"/>
      <c r="B342" s="3"/>
      <c r="C342" s="3"/>
      <c r="D342" s="3" t="str">
        <f aca="false">IF($B342="","",IFERROR(LOOKUP(2^15,SEARCH(Rules!$A$2:$A$200&amp;"",$B342)/(Rules!$A$2:$A$200&lt;&gt;""),Rules!$B$2:$B$200),"Uncategorized"))</f>
        <v/>
      </c>
      <c r="E342" s="3" t="str">
        <f aca="false">IF($B342="","",IF($C342&gt;=0,"Income","Expense"))</f>
        <v/>
      </c>
      <c r="F342" s="3" t="str">
        <f aca="false">IF($B342="","",IFERROR(LOOKUP(2^15,SEARCH(Rules!$A$2:$A$200&amp;"",$B342)/(Rules!$A$2:$A$200&lt;&gt;""),Rules!$A$2:$A$200),""))</f>
        <v/>
      </c>
      <c r="G342" s="3" t="str">
        <f aca="false">IF($B342="","",IF(D342="Uncategorized","⚠ Review",IF(IFERROR(LOOKUP(2^15,SEARCH(Rules!$A$2:$A$200&amp;"",$B342)/(Rules!$A$2:$A$200&lt;&gt;""),Rules!$C$2:$C$200),"")&lt;&gt;E342,"⚠ Check sign","OK")))</f>
        <v/>
      </c>
    </row>
    <row r="343" customFormat="false" ht="15" hidden="false" customHeight="false" outlineLevel="0" collapsed="false">
      <c r="A343" s="3"/>
      <c r="B343" s="3"/>
      <c r="C343" s="3"/>
      <c r="D343" s="3" t="str">
        <f aca="false">IF($B343="","",IFERROR(LOOKUP(2^15,SEARCH(Rules!$A$2:$A$200&amp;"",$B343)/(Rules!$A$2:$A$200&lt;&gt;""),Rules!$B$2:$B$200),"Uncategorized"))</f>
        <v/>
      </c>
      <c r="E343" s="3" t="str">
        <f aca="false">IF($B343="","",IF($C343&gt;=0,"Income","Expense"))</f>
        <v/>
      </c>
      <c r="F343" s="3" t="str">
        <f aca="false">IF($B343="","",IFERROR(LOOKUP(2^15,SEARCH(Rules!$A$2:$A$200&amp;"",$B343)/(Rules!$A$2:$A$200&lt;&gt;""),Rules!$A$2:$A$200),""))</f>
        <v/>
      </c>
      <c r="G343" s="3" t="str">
        <f aca="false">IF($B343="","",IF(D343="Uncategorized","⚠ Review",IF(IFERROR(LOOKUP(2^15,SEARCH(Rules!$A$2:$A$200&amp;"",$B343)/(Rules!$A$2:$A$200&lt;&gt;""),Rules!$C$2:$C$200),"")&lt;&gt;E343,"⚠ Check sign","OK")))</f>
        <v/>
      </c>
    </row>
    <row r="344" customFormat="false" ht="15" hidden="false" customHeight="false" outlineLevel="0" collapsed="false">
      <c r="A344" s="3"/>
      <c r="B344" s="3"/>
      <c r="C344" s="3"/>
      <c r="D344" s="3" t="str">
        <f aca="false">IF($B344="","",IFERROR(LOOKUP(2^15,SEARCH(Rules!$A$2:$A$200&amp;"",$B344)/(Rules!$A$2:$A$200&lt;&gt;""),Rules!$B$2:$B$200),"Uncategorized"))</f>
        <v/>
      </c>
      <c r="E344" s="3" t="str">
        <f aca="false">IF($B344="","",IF($C344&gt;=0,"Income","Expense"))</f>
        <v/>
      </c>
      <c r="F344" s="3" t="str">
        <f aca="false">IF($B344="","",IFERROR(LOOKUP(2^15,SEARCH(Rules!$A$2:$A$200&amp;"",$B344)/(Rules!$A$2:$A$200&lt;&gt;""),Rules!$A$2:$A$200),""))</f>
        <v/>
      </c>
      <c r="G344" s="3" t="str">
        <f aca="false">IF($B344="","",IF(D344="Uncategorized","⚠ Review",IF(IFERROR(LOOKUP(2^15,SEARCH(Rules!$A$2:$A$200&amp;"",$B344)/(Rules!$A$2:$A$200&lt;&gt;""),Rules!$C$2:$C$200),"")&lt;&gt;E344,"⚠ Check sign","OK")))</f>
        <v/>
      </c>
    </row>
    <row r="345" customFormat="false" ht="15" hidden="false" customHeight="false" outlineLevel="0" collapsed="false">
      <c r="A345" s="3"/>
      <c r="B345" s="3"/>
      <c r="C345" s="3"/>
      <c r="D345" s="3" t="str">
        <f aca="false">IF($B345="","",IFERROR(LOOKUP(2^15,SEARCH(Rules!$A$2:$A$200&amp;"",$B345)/(Rules!$A$2:$A$200&lt;&gt;""),Rules!$B$2:$B$200),"Uncategorized"))</f>
        <v/>
      </c>
      <c r="E345" s="3" t="str">
        <f aca="false">IF($B345="","",IF($C345&gt;=0,"Income","Expense"))</f>
        <v/>
      </c>
      <c r="F345" s="3" t="str">
        <f aca="false">IF($B345="","",IFERROR(LOOKUP(2^15,SEARCH(Rules!$A$2:$A$200&amp;"",$B345)/(Rules!$A$2:$A$200&lt;&gt;""),Rules!$A$2:$A$200),""))</f>
        <v/>
      </c>
      <c r="G345" s="3" t="str">
        <f aca="false">IF($B345="","",IF(D345="Uncategorized","⚠ Review",IF(IFERROR(LOOKUP(2^15,SEARCH(Rules!$A$2:$A$200&amp;"",$B345)/(Rules!$A$2:$A$200&lt;&gt;""),Rules!$C$2:$C$200),"")&lt;&gt;E345,"⚠ Check sign","OK")))</f>
        <v/>
      </c>
    </row>
    <row r="346" customFormat="false" ht="15" hidden="false" customHeight="false" outlineLevel="0" collapsed="false">
      <c r="A346" s="3"/>
      <c r="B346" s="3"/>
      <c r="C346" s="3"/>
      <c r="D346" s="3" t="str">
        <f aca="false">IF($B346="","",IFERROR(LOOKUP(2^15,SEARCH(Rules!$A$2:$A$200&amp;"",$B346)/(Rules!$A$2:$A$200&lt;&gt;""),Rules!$B$2:$B$200),"Uncategorized"))</f>
        <v/>
      </c>
      <c r="E346" s="3" t="str">
        <f aca="false">IF($B346="","",IF($C346&gt;=0,"Income","Expense"))</f>
        <v/>
      </c>
      <c r="F346" s="3" t="str">
        <f aca="false">IF($B346="","",IFERROR(LOOKUP(2^15,SEARCH(Rules!$A$2:$A$200&amp;"",$B346)/(Rules!$A$2:$A$200&lt;&gt;""),Rules!$A$2:$A$200),""))</f>
        <v/>
      </c>
      <c r="G346" s="3" t="str">
        <f aca="false">IF($B346="","",IF(D346="Uncategorized","⚠ Review",IF(IFERROR(LOOKUP(2^15,SEARCH(Rules!$A$2:$A$200&amp;"",$B346)/(Rules!$A$2:$A$200&lt;&gt;""),Rules!$C$2:$C$200),"")&lt;&gt;E346,"⚠ Check sign","OK")))</f>
        <v/>
      </c>
    </row>
    <row r="347" customFormat="false" ht="15" hidden="false" customHeight="false" outlineLevel="0" collapsed="false">
      <c r="A347" s="3"/>
      <c r="B347" s="3"/>
      <c r="C347" s="3"/>
      <c r="D347" s="3" t="str">
        <f aca="false">IF($B347="","",IFERROR(LOOKUP(2^15,SEARCH(Rules!$A$2:$A$200&amp;"",$B347)/(Rules!$A$2:$A$200&lt;&gt;""),Rules!$B$2:$B$200),"Uncategorized"))</f>
        <v/>
      </c>
      <c r="E347" s="3" t="str">
        <f aca="false">IF($B347="","",IF($C347&gt;=0,"Income","Expense"))</f>
        <v/>
      </c>
      <c r="F347" s="3" t="str">
        <f aca="false">IF($B347="","",IFERROR(LOOKUP(2^15,SEARCH(Rules!$A$2:$A$200&amp;"",$B347)/(Rules!$A$2:$A$200&lt;&gt;""),Rules!$A$2:$A$200),""))</f>
        <v/>
      </c>
      <c r="G347" s="3" t="str">
        <f aca="false">IF($B347="","",IF(D347="Uncategorized","⚠ Review",IF(IFERROR(LOOKUP(2^15,SEARCH(Rules!$A$2:$A$200&amp;"",$B347)/(Rules!$A$2:$A$200&lt;&gt;""),Rules!$C$2:$C$200),"")&lt;&gt;E347,"⚠ Check sign","OK")))</f>
        <v/>
      </c>
    </row>
    <row r="348" customFormat="false" ht="15" hidden="false" customHeight="false" outlineLevel="0" collapsed="false">
      <c r="A348" s="3"/>
      <c r="B348" s="3"/>
      <c r="C348" s="3"/>
      <c r="D348" s="3" t="str">
        <f aca="false">IF($B348="","",IFERROR(LOOKUP(2^15,SEARCH(Rules!$A$2:$A$200&amp;"",$B348)/(Rules!$A$2:$A$200&lt;&gt;""),Rules!$B$2:$B$200),"Uncategorized"))</f>
        <v/>
      </c>
      <c r="E348" s="3" t="str">
        <f aca="false">IF($B348="","",IF($C348&gt;=0,"Income","Expense"))</f>
        <v/>
      </c>
      <c r="F348" s="3" t="str">
        <f aca="false">IF($B348="","",IFERROR(LOOKUP(2^15,SEARCH(Rules!$A$2:$A$200&amp;"",$B348)/(Rules!$A$2:$A$200&lt;&gt;""),Rules!$A$2:$A$200),""))</f>
        <v/>
      </c>
      <c r="G348" s="3" t="str">
        <f aca="false">IF($B348="","",IF(D348="Uncategorized","⚠ Review",IF(IFERROR(LOOKUP(2^15,SEARCH(Rules!$A$2:$A$200&amp;"",$B348)/(Rules!$A$2:$A$200&lt;&gt;""),Rules!$C$2:$C$200),"")&lt;&gt;E348,"⚠ Check sign","OK")))</f>
        <v/>
      </c>
    </row>
    <row r="349" customFormat="false" ht="15" hidden="false" customHeight="false" outlineLevel="0" collapsed="false">
      <c r="A349" s="3"/>
      <c r="B349" s="3"/>
      <c r="C349" s="3"/>
      <c r="D349" s="3" t="str">
        <f aca="false">IF($B349="","",IFERROR(LOOKUP(2^15,SEARCH(Rules!$A$2:$A$200&amp;"",$B349)/(Rules!$A$2:$A$200&lt;&gt;""),Rules!$B$2:$B$200),"Uncategorized"))</f>
        <v/>
      </c>
      <c r="E349" s="3" t="str">
        <f aca="false">IF($B349="","",IF($C349&gt;=0,"Income","Expense"))</f>
        <v/>
      </c>
      <c r="F349" s="3" t="str">
        <f aca="false">IF($B349="","",IFERROR(LOOKUP(2^15,SEARCH(Rules!$A$2:$A$200&amp;"",$B349)/(Rules!$A$2:$A$200&lt;&gt;""),Rules!$A$2:$A$200),""))</f>
        <v/>
      </c>
      <c r="G349" s="3" t="str">
        <f aca="false">IF($B349="","",IF(D349="Uncategorized","⚠ Review",IF(IFERROR(LOOKUP(2^15,SEARCH(Rules!$A$2:$A$200&amp;"",$B349)/(Rules!$A$2:$A$200&lt;&gt;""),Rules!$C$2:$C$200),"")&lt;&gt;E349,"⚠ Check sign","OK")))</f>
        <v/>
      </c>
    </row>
    <row r="350" customFormat="false" ht="15" hidden="false" customHeight="false" outlineLevel="0" collapsed="false">
      <c r="A350" s="3"/>
      <c r="B350" s="3"/>
      <c r="C350" s="3"/>
      <c r="D350" s="3" t="str">
        <f aca="false">IF($B350="","",IFERROR(LOOKUP(2^15,SEARCH(Rules!$A$2:$A$200&amp;"",$B350)/(Rules!$A$2:$A$200&lt;&gt;""),Rules!$B$2:$B$200),"Uncategorized"))</f>
        <v/>
      </c>
      <c r="E350" s="3" t="str">
        <f aca="false">IF($B350="","",IF($C350&gt;=0,"Income","Expense"))</f>
        <v/>
      </c>
      <c r="F350" s="3" t="str">
        <f aca="false">IF($B350="","",IFERROR(LOOKUP(2^15,SEARCH(Rules!$A$2:$A$200&amp;"",$B350)/(Rules!$A$2:$A$200&lt;&gt;""),Rules!$A$2:$A$200),""))</f>
        <v/>
      </c>
      <c r="G350" s="3" t="str">
        <f aca="false">IF($B350="","",IF(D350="Uncategorized","⚠ Review",IF(IFERROR(LOOKUP(2^15,SEARCH(Rules!$A$2:$A$200&amp;"",$B350)/(Rules!$A$2:$A$200&lt;&gt;""),Rules!$C$2:$C$200),"")&lt;&gt;E350,"⚠ Check sign","OK")))</f>
        <v/>
      </c>
    </row>
    <row r="351" customFormat="false" ht="15" hidden="false" customHeight="false" outlineLevel="0" collapsed="false">
      <c r="A351" s="3"/>
      <c r="B351" s="3"/>
      <c r="C351" s="3"/>
      <c r="D351" s="3" t="str">
        <f aca="false">IF($B351="","",IFERROR(LOOKUP(2^15,SEARCH(Rules!$A$2:$A$200&amp;"",$B351)/(Rules!$A$2:$A$200&lt;&gt;""),Rules!$B$2:$B$200),"Uncategorized"))</f>
        <v/>
      </c>
      <c r="E351" s="3" t="str">
        <f aca="false">IF($B351="","",IF($C351&gt;=0,"Income","Expense"))</f>
        <v/>
      </c>
      <c r="F351" s="3" t="str">
        <f aca="false">IF($B351="","",IFERROR(LOOKUP(2^15,SEARCH(Rules!$A$2:$A$200&amp;"",$B351)/(Rules!$A$2:$A$200&lt;&gt;""),Rules!$A$2:$A$200),""))</f>
        <v/>
      </c>
      <c r="G351" s="3" t="str">
        <f aca="false">IF($B351="","",IF(D351="Uncategorized","⚠ Review",IF(IFERROR(LOOKUP(2^15,SEARCH(Rules!$A$2:$A$200&amp;"",$B351)/(Rules!$A$2:$A$200&lt;&gt;""),Rules!$C$2:$C$200),"")&lt;&gt;E351,"⚠ Check sign","OK")))</f>
        <v/>
      </c>
    </row>
    <row r="352" customFormat="false" ht="15" hidden="false" customHeight="false" outlineLevel="0" collapsed="false">
      <c r="A352" s="3"/>
      <c r="B352" s="3"/>
      <c r="C352" s="3"/>
      <c r="D352" s="3" t="str">
        <f aca="false">IF($B352="","",IFERROR(LOOKUP(2^15,SEARCH(Rules!$A$2:$A$200&amp;"",$B352)/(Rules!$A$2:$A$200&lt;&gt;""),Rules!$B$2:$B$200),"Uncategorized"))</f>
        <v/>
      </c>
      <c r="E352" s="3" t="str">
        <f aca="false">IF($B352="","",IF($C352&gt;=0,"Income","Expense"))</f>
        <v/>
      </c>
      <c r="F352" s="3" t="str">
        <f aca="false">IF($B352="","",IFERROR(LOOKUP(2^15,SEARCH(Rules!$A$2:$A$200&amp;"",$B352)/(Rules!$A$2:$A$200&lt;&gt;""),Rules!$A$2:$A$200),""))</f>
        <v/>
      </c>
      <c r="G352" s="3" t="str">
        <f aca="false">IF($B352="","",IF(D352="Uncategorized","⚠ Review",IF(IFERROR(LOOKUP(2^15,SEARCH(Rules!$A$2:$A$200&amp;"",$B352)/(Rules!$A$2:$A$200&lt;&gt;""),Rules!$C$2:$C$200),"")&lt;&gt;E352,"⚠ Check sign","OK")))</f>
        <v/>
      </c>
    </row>
    <row r="353" customFormat="false" ht="15" hidden="false" customHeight="false" outlineLevel="0" collapsed="false">
      <c r="A353" s="3"/>
      <c r="B353" s="3"/>
      <c r="C353" s="3"/>
      <c r="D353" s="3" t="str">
        <f aca="false">IF($B353="","",IFERROR(LOOKUP(2^15,SEARCH(Rules!$A$2:$A$200&amp;"",$B353)/(Rules!$A$2:$A$200&lt;&gt;""),Rules!$B$2:$B$200),"Uncategorized"))</f>
        <v/>
      </c>
      <c r="E353" s="3" t="str">
        <f aca="false">IF($B353="","",IF($C353&gt;=0,"Income","Expense"))</f>
        <v/>
      </c>
      <c r="F353" s="3" t="str">
        <f aca="false">IF($B353="","",IFERROR(LOOKUP(2^15,SEARCH(Rules!$A$2:$A$200&amp;"",$B353)/(Rules!$A$2:$A$200&lt;&gt;""),Rules!$A$2:$A$200),""))</f>
        <v/>
      </c>
      <c r="G353" s="3" t="str">
        <f aca="false">IF($B353="","",IF(D353="Uncategorized","⚠ Review",IF(IFERROR(LOOKUP(2^15,SEARCH(Rules!$A$2:$A$200&amp;"",$B353)/(Rules!$A$2:$A$200&lt;&gt;""),Rules!$C$2:$C$200),"")&lt;&gt;E353,"⚠ Check sign","OK")))</f>
        <v/>
      </c>
    </row>
    <row r="354" customFormat="false" ht="15" hidden="false" customHeight="false" outlineLevel="0" collapsed="false">
      <c r="A354" s="3"/>
      <c r="B354" s="3"/>
      <c r="C354" s="3"/>
      <c r="D354" s="3" t="str">
        <f aca="false">IF($B354="","",IFERROR(LOOKUP(2^15,SEARCH(Rules!$A$2:$A$200&amp;"",$B354)/(Rules!$A$2:$A$200&lt;&gt;""),Rules!$B$2:$B$200),"Uncategorized"))</f>
        <v/>
      </c>
      <c r="E354" s="3" t="str">
        <f aca="false">IF($B354="","",IF($C354&gt;=0,"Income","Expense"))</f>
        <v/>
      </c>
      <c r="F354" s="3" t="str">
        <f aca="false">IF($B354="","",IFERROR(LOOKUP(2^15,SEARCH(Rules!$A$2:$A$200&amp;"",$B354)/(Rules!$A$2:$A$200&lt;&gt;""),Rules!$A$2:$A$200),""))</f>
        <v/>
      </c>
      <c r="G354" s="3" t="str">
        <f aca="false">IF($B354="","",IF(D354="Uncategorized","⚠ Review",IF(IFERROR(LOOKUP(2^15,SEARCH(Rules!$A$2:$A$200&amp;"",$B354)/(Rules!$A$2:$A$200&lt;&gt;""),Rules!$C$2:$C$200),"")&lt;&gt;E354,"⚠ Check sign","OK")))</f>
        <v/>
      </c>
    </row>
    <row r="355" customFormat="false" ht="15" hidden="false" customHeight="false" outlineLevel="0" collapsed="false">
      <c r="A355" s="3"/>
      <c r="B355" s="3"/>
      <c r="C355" s="3"/>
      <c r="D355" s="3" t="str">
        <f aca="false">IF($B355="","",IFERROR(LOOKUP(2^15,SEARCH(Rules!$A$2:$A$200&amp;"",$B355)/(Rules!$A$2:$A$200&lt;&gt;""),Rules!$B$2:$B$200),"Uncategorized"))</f>
        <v/>
      </c>
      <c r="E355" s="3" t="str">
        <f aca="false">IF($B355="","",IF($C355&gt;=0,"Income","Expense"))</f>
        <v/>
      </c>
      <c r="F355" s="3" t="str">
        <f aca="false">IF($B355="","",IFERROR(LOOKUP(2^15,SEARCH(Rules!$A$2:$A$200&amp;"",$B355)/(Rules!$A$2:$A$200&lt;&gt;""),Rules!$A$2:$A$200),""))</f>
        <v/>
      </c>
      <c r="G355" s="3" t="str">
        <f aca="false">IF($B355="","",IF(D355="Uncategorized","⚠ Review",IF(IFERROR(LOOKUP(2^15,SEARCH(Rules!$A$2:$A$200&amp;"",$B355)/(Rules!$A$2:$A$200&lt;&gt;""),Rules!$C$2:$C$200),"")&lt;&gt;E355,"⚠ Check sign","OK")))</f>
        <v/>
      </c>
    </row>
    <row r="356" customFormat="false" ht="15" hidden="false" customHeight="false" outlineLevel="0" collapsed="false">
      <c r="A356" s="3"/>
      <c r="B356" s="3"/>
      <c r="C356" s="3"/>
      <c r="D356" s="3" t="str">
        <f aca="false">IF($B356="","",IFERROR(LOOKUP(2^15,SEARCH(Rules!$A$2:$A$200&amp;"",$B356)/(Rules!$A$2:$A$200&lt;&gt;""),Rules!$B$2:$B$200),"Uncategorized"))</f>
        <v/>
      </c>
      <c r="E356" s="3" t="str">
        <f aca="false">IF($B356="","",IF($C356&gt;=0,"Income","Expense"))</f>
        <v/>
      </c>
      <c r="F356" s="3" t="str">
        <f aca="false">IF($B356="","",IFERROR(LOOKUP(2^15,SEARCH(Rules!$A$2:$A$200&amp;"",$B356)/(Rules!$A$2:$A$200&lt;&gt;""),Rules!$A$2:$A$200),""))</f>
        <v/>
      </c>
      <c r="G356" s="3" t="str">
        <f aca="false">IF($B356="","",IF(D356="Uncategorized","⚠ Review",IF(IFERROR(LOOKUP(2^15,SEARCH(Rules!$A$2:$A$200&amp;"",$B356)/(Rules!$A$2:$A$200&lt;&gt;""),Rules!$C$2:$C$200),"")&lt;&gt;E356,"⚠ Check sign","OK")))</f>
        <v/>
      </c>
    </row>
    <row r="357" customFormat="false" ht="15" hidden="false" customHeight="false" outlineLevel="0" collapsed="false">
      <c r="A357" s="3"/>
      <c r="B357" s="3"/>
      <c r="C357" s="3"/>
      <c r="D357" s="3" t="str">
        <f aca="false">IF($B357="","",IFERROR(LOOKUP(2^15,SEARCH(Rules!$A$2:$A$200&amp;"",$B357)/(Rules!$A$2:$A$200&lt;&gt;""),Rules!$B$2:$B$200),"Uncategorized"))</f>
        <v/>
      </c>
      <c r="E357" s="3" t="str">
        <f aca="false">IF($B357="","",IF($C357&gt;=0,"Income","Expense"))</f>
        <v/>
      </c>
      <c r="F357" s="3" t="str">
        <f aca="false">IF($B357="","",IFERROR(LOOKUP(2^15,SEARCH(Rules!$A$2:$A$200&amp;"",$B357)/(Rules!$A$2:$A$200&lt;&gt;""),Rules!$A$2:$A$200),""))</f>
        <v/>
      </c>
      <c r="G357" s="3" t="str">
        <f aca="false">IF($B357="","",IF(D357="Uncategorized","⚠ Review",IF(IFERROR(LOOKUP(2^15,SEARCH(Rules!$A$2:$A$200&amp;"",$B357)/(Rules!$A$2:$A$200&lt;&gt;""),Rules!$C$2:$C$200),"")&lt;&gt;E357,"⚠ Check sign","OK")))</f>
        <v/>
      </c>
    </row>
    <row r="358" customFormat="false" ht="15" hidden="false" customHeight="false" outlineLevel="0" collapsed="false">
      <c r="A358" s="3"/>
      <c r="B358" s="3"/>
      <c r="C358" s="3"/>
      <c r="D358" s="3" t="str">
        <f aca="false">IF($B358="","",IFERROR(LOOKUP(2^15,SEARCH(Rules!$A$2:$A$200&amp;"",$B358)/(Rules!$A$2:$A$200&lt;&gt;""),Rules!$B$2:$B$200),"Uncategorized"))</f>
        <v/>
      </c>
      <c r="E358" s="3" t="str">
        <f aca="false">IF($B358="","",IF($C358&gt;=0,"Income","Expense"))</f>
        <v/>
      </c>
      <c r="F358" s="3" t="str">
        <f aca="false">IF($B358="","",IFERROR(LOOKUP(2^15,SEARCH(Rules!$A$2:$A$200&amp;"",$B358)/(Rules!$A$2:$A$200&lt;&gt;""),Rules!$A$2:$A$200),""))</f>
        <v/>
      </c>
      <c r="G358" s="3" t="str">
        <f aca="false">IF($B358="","",IF(D358="Uncategorized","⚠ Review",IF(IFERROR(LOOKUP(2^15,SEARCH(Rules!$A$2:$A$200&amp;"",$B358)/(Rules!$A$2:$A$200&lt;&gt;""),Rules!$C$2:$C$200),"")&lt;&gt;E358,"⚠ Check sign","OK")))</f>
        <v/>
      </c>
    </row>
    <row r="359" customFormat="false" ht="15" hidden="false" customHeight="false" outlineLevel="0" collapsed="false">
      <c r="A359" s="3"/>
      <c r="B359" s="3"/>
      <c r="C359" s="3"/>
      <c r="D359" s="3" t="str">
        <f aca="false">IF($B359="","",IFERROR(LOOKUP(2^15,SEARCH(Rules!$A$2:$A$200&amp;"",$B359)/(Rules!$A$2:$A$200&lt;&gt;""),Rules!$B$2:$B$200),"Uncategorized"))</f>
        <v/>
      </c>
      <c r="E359" s="3" t="str">
        <f aca="false">IF($B359="","",IF($C359&gt;=0,"Income","Expense"))</f>
        <v/>
      </c>
      <c r="F359" s="3" t="str">
        <f aca="false">IF($B359="","",IFERROR(LOOKUP(2^15,SEARCH(Rules!$A$2:$A$200&amp;"",$B359)/(Rules!$A$2:$A$200&lt;&gt;""),Rules!$A$2:$A$200),""))</f>
        <v/>
      </c>
      <c r="G359" s="3" t="str">
        <f aca="false">IF($B359="","",IF(D359="Uncategorized","⚠ Review",IF(IFERROR(LOOKUP(2^15,SEARCH(Rules!$A$2:$A$200&amp;"",$B359)/(Rules!$A$2:$A$200&lt;&gt;""),Rules!$C$2:$C$200),"")&lt;&gt;E359,"⚠ Check sign","OK")))</f>
        <v/>
      </c>
    </row>
    <row r="360" customFormat="false" ht="15" hidden="false" customHeight="false" outlineLevel="0" collapsed="false">
      <c r="A360" s="3"/>
      <c r="B360" s="3"/>
      <c r="C360" s="3"/>
      <c r="D360" s="3" t="str">
        <f aca="false">IF($B360="","",IFERROR(LOOKUP(2^15,SEARCH(Rules!$A$2:$A$200&amp;"",$B360)/(Rules!$A$2:$A$200&lt;&gt;""),Rules!$B$2:$B$200),"Uncategorized"))</f>
        <v/>
      </c>
      <c r="E360" s="3" t="str">
        <f aca="false">IF($B360="","",IF($C360&gt;=0,"Income","Expense"))</f>
        <v/>
      </c>
      <c r="F360" s="3" t="str">
        <f aca="false">IF($B360="","",IFERROR(LOOKUP(2^15,SEARCH(Rules!$A$2:$A$200&amp;"",$B360)/(Rules!$A$2:$A$200&lt;&gt;""),Rules!$A$2:$A$200),""))</f>
        <v/>
      </c>
      <c r="G360" s="3" t="str">
        <f aca="false">IF($B360="","",IF(D360="Uncategorized","⚠ Review",IF(IFERROR(LOOKUP(2^15,SEARCH(Rules!$A$2:$A$200&amp;"",$B360)/(Rules!$A$2:$A$200&lt;&gt;""),Rules!$C$2:$C$200),"")&lt;&gt;E360,"⚠ Check sign","OK")))</f>
        <v/>
      </c>
    </row>
    <row r="361" customFormat="false" ht="15" hidden="false" customHeight="false" outlineLevel="0" collapsed="false">
      <c r="A361" s="3"/>
      <c r="B361" s="3"/>
      <c r="C361" s="3"/>
      <c r="D361" s="3" t="str">
        <f aca="false">IF($B361="","",IFERROR(LOOKUP(2^15,SEARCH(Rules!$A$2:$A$200&amp;"",$B361)/(Rules!$A$2:$A$200&lt;&gt;""),Rules!$B$2:$B$200),"Uncategorized"))</f>
        <v/>
      </c>
      <c r="E361" s="3" t="str">
        <f aca="false">IF($B361="","",IF($C361&gt;=0,"Income","Expense"))</f>
        <v/>
      </c>
      <c r="F361" s="3" t="str">
        <f aca="false">IF($B361="","",IFERROR(LOOKUP(2^15,SEARCH(Rules!$A$2:$A$200&amp;"",$B361)/(Rules!$A$2:$A$200&lt;&gt;""),Rules!$A$2:$A$200),""))</f>
        <v/>
      </c>
      <c r="G361" s="3" t="str">
        <f aca="false">IF($B361="","",IF(D361="Uncategorized","⚠ Review",IF(IFERROR(LOOKUP(2^15,SEARCH(Rules!$A$2:$A$200&amp;"",$B361)/(Rules!$A$2:$A$200&lt;&gt;""),Rules!$C$2:$C$200),"")&lt;&gt;E361,"⚠ Check sign","OK")))</f>
        <v/>
      </c>
    </row>
    <row r="362" customFormat="false" ht="15" hidden="false" customHeight="false" outlineLevel="0" collapsed="false">
      <c r="A362" s="3"/>
      <c r="B362" s="3"/>
      <c r="C362" s="3"/>
      <c r="D362" s="3" t="str">
        <f aca="false">IF($B362="","",IFERROR(LOOKUP(2^15,SEARCH(Rules!$A$2:$A$200&amp;"",$B362)/(Rules!$A$2:$A$200&lt;&gt;""),Rules!$B$2:$B$200),"Uncategorized"))</f>
        <v/>
      </c>
      <c r="E362" s="3" t="str">
        <f aca="false">IF($B362="","",IF($C362&gt;=0,"Income","Expense"))</f>
        <v/>
      </c>
      <c r="F362" s="3" t="str">
        <f aca="false">IF($B362="","",IFERROR(LOOKUP(2^15,SEARCH(Rules!$A$2:$A$200&amp;"",$B362)/(Rules!$A$2:$A$200&lt;&gt;""),Rules!$A$2:$A$200),""))</f>
        <v/>
      </c>
      <c r="G362" s="3" t="str">
        <f aca="false">IF($B362="","",IF(D362="Uncategorized","⚠ Review",IF(IFERROR(LOOKUP(2^15,SEARCH(Rules!$A$2:$A$200&amp;"",$B362)/(Rules!$A$2:$A$200&lt;&gt;""),Rules!$C$2:$C$200),"")&lt;&gt;E362,"⚠ Check sign","OK")))</f>
        <v/>
      </c>
    </row>
    <row r="363" customFormat="false" ht="15" hidden="false" customHeight="false" outlineLevel="0" collapsed="false">
      <c r="A363" s="3"/>
      <c r="B363" s="3"/>
      <c r="C363" s="3"/>
      <c r="D363" s="3" t="str">
        <f aca="false">IF($B363="","",IFERROR(LOOKUP(2^15,SEARCH(Rules!$A$2:$A$200&amp;"",$B363)/(Rules!$A$2:$A$200&lt;&gt;""),Rules!$B$2:$B$200),"Uncategorized"))</f>
        <v/>
      </c>
      <c r="E363" s="3" t="str">
        <f aca="false">IF($B363="","",IF($C363&gt;=0,"Income","Expense"))</f>
        <v/>
      </c>
      <c r="F363" s="3" t="str">
        <f aca="false">IF($B363="","",IFERROR(LOOKUP(2^15,SEARCH(Rules!$A$2:$A$200&amp;"",$B363)/(Rules!$A$2:$A$200&lt;&gt;""),Rules!$A$2:$A$200),""))</f>
        <v/>
      </c>
      <c r="G363" s="3" t="str">
        <f aca="false">IF($B363="","",IF(D363="Uncategorized","⚠ Review",IF(IFERROR(LOOKUP(2^15,SEARCH(Rules!$A$2:$A$200&amp;"",$B363)/(Rules!$A$2:$A$200&lt;&gt;""),Rules!$C$2:$C$200),"")&lt;&gt;E363,"⚠ Check sign","OK")))</f>
        <v/>
      </c>
    </row>
    <row r="364" customFormat="false" ht="15" hidden="false" customHeight="false" outlineLevel="0" collapsed="false">
      <c r="A364" s="3"/>
      <c r="B364" s="3"/>
      <c r="C364" s="3"/>
      <c r="D364" s="3" t="str">
        <f aca="false">IF($B364="","",IFERROR(LOOKUP(2^15,SEARCH(Rules!$A$2:$A$200&amp;"",$B364)/(Rules!$A$2:$A$200&lt;&gt;""),Rules!$B$2:$B$200),"Uncategorized"))</f>
        <v/>
      </c>
      <c r="E364" s="3" t="str">
        <f aca="false">IF($B364="","",IF($C364&gt;=0,"Income","Expense"))</f>
        <v/>
      </c>
      <c r="F364" s="3" t="str">
        <f aca="false">IF($B364="","",IFERROR(LOOKUP(2^15,SEARCH(Rules!$A$2:$A$200&amp;"",$B364)/(Rules!$A$2:$A$200&lt;&gt;""),Rules!$A$2:$A$200),""))</f>
        <v/>
      </c>
      <c r="G364" s="3" t="str">
        <f aca="false">IF($B364="","",IF(D364="Uncategorized","⚠ Review",IF(IFERROR(LOOKUP(2^15,SEARCH(Rules!$A$2:$A$200&amp;"",$B364)/(Rules!$A$2:$A$200&lt;&gt;""),Rules!$C$2:$C$200),"")&lt;&gt;E364,"⚠ Check sign","OK")))</f>
        <v/>
      </c>
    </row>
    <row r="365" customFormat="false" ht="15" hidden="false" customHeight="false" outlineLevel="0" collapsed="false">
      <c r="A365" s="3"/>
      <c r="B365" s="3"/>
      <c r="C365" s="3"/>
      <c r="D365" s="3" t="str">
        <f aca="false">IF($B365="","",IFERROR(LOOKUP(2^15,SEARCH(Rules!$A$2:$A$200&amp;"",$B365)/(Rules!$A$2:$A$200&lt;&gt;""),Rules!$B$2:$B$200),"Uncategorized"))</f>
        <v/>
      </c>
      <c r="E365" s="3" t="str">
        <f aca="false">IF($B365="","",IF($C365&gt;=0,"Income","Expense"))</f>
        <v/>
      </c>
      <c r="F365" s="3" t="str">
        <f aca="false">IF($B365="","",IFERROR(LOOKUP(2^15,SEARCH(Rules!$A$2:$A$200&amp;"",$B365)/(Rules!$A$2:$A$200&lt;&gt;""),Rules!$A$2:$A$200),""))</f>
        <v/>
      </c>
      <c r="G365" s="3" t="str">
        <f aca="false">IF($B365="","",IF(D365="Uncategorized","⚠ Review",IF(IFERROR(LOOKUP(2^15,SEARCH(Rules!$A$2:$A$200&amp;"",$B365)/(Rules!$A$2:$A$200&lt;&gt;""),Rules!$C$2:$C$200),"")&lt;&gt;E365,"⚠ Check sign","OK")))</f>
        <v/>
      </c>
    </row>
    <row r="366" customFormat="false" ht="15" hidden="false" customHeight="false" outlineLevel="0" collapsed="false">
      <c r="A366" s="3"/>
      <c r="B366" s="3"/>
      <c r="C366" s="3"/>
      <c r="D366" s="3" t="str">
        <f aca="false">IF($B366="","",IFERROR(LOOKUP(2^15,SEARCH(Rules!$A$2:$A$200&amp;"",$B366)/(Rules!$A$2:$A$200&lt;&gt;""),Rules!$B$2:$B$200),"Uncategorized"))</f>
        <v/>
      </c>
      <c r="E366" s="3" t="str">
        <f aca="false">IF($B366="","",IF($C366&gt;=0,"Income","Expense"))</f>
        <v/>
      </c>
      <c r="F366" s="3" t="str">
        <f aca="false">IF($B366="","",IFERROR(LOOKUP(2^15,SEARCH(Rules!$A$2:$A$200&amp;"",$B366)/(Rules!$A$2:$A$200&lt;&gt;""),Rules!$A$2:$A$200),""))</f>
        <v/>
      </c>
      <c r="G366" s="3" t="str">
        <f aca="false">IF($B366="","",IF(D366="Uncategorized","⚠ Review",IF(IFERROR(LOOKUP(2^15,SEARCH(Rules!$A$2:$A$200&amp;"",$B366)/(Rules!$A$2:$A$200&lt;&gt;""),Rules!$C$2:$C$200),"")&lt;&gt;E366,"⚠ Check sign","OK")))</f>
        <v/>
      </c>
    </row>
    <row r="367" customFormat="false" ht="15" hidden="false" customHeight="false" outlineLevel="0" collapsed="false">
      <c r="A367" s="3"/>
      <c r="B367" s="3"/>
      <c r="C367" s="3"/>
      <c r="D367" s="3" t="str">
        <f aca="false">IF($B367="","",IFERROR(LOOKUP(2^15,SEARCH(Rules!$A$2:$A$200&amp;"",$B367)/(Rules!$A$2:$A$200&lt;&gt;""),Rules!$B$2:$B$200),"Uncategorized"))</f>
        <v/>
      </c>
      <c r="E367" s="3" t="str">
        <f aca="false">IF($B367="","",IF($C367&gt;=0,"Income","Expense"))</f>
        <v/>
      </c>
      <c r="F367" s="3" t="str">
        <f aca="false">IF($B367="","",IFERROR(LOOKUP(2^15,SEARCH(Rules!$A$2:$A$200&amp;"",$B367)/(Rules!$A$2:$A$200&lt;&gt;""),Rules!$A$2:$A$200),""))</f>
        <v/>
      </c>
      <c r="G367" s="3" t="str">
        <f aca="false">IF($B367="","",IF(D367="Uncategorized","⚠ Review",IF(IFERROR(LOOKUP(2^15,SEARCH(Rules!$A$2:$A$200&amp;"",$B367)/(Rules!$A$2:$A$200&lt;&gt;""),Rules!$C$2:$C$200),"")&lt;&gt;E367,"⚠ Check sign","OK")))</f>
        <v/>
      </c>
    </row>
    <row r="368" customFormat="false" ht="15" hidden="false" customHeight="false" outlineLevel="0" collapsed="false">
      <c r="A368" s="3"/>
      <c r="B368" s="3"/>
      <c r="C368" s="3"/>
      <c r="D368" s="3" t="str">
        <f aca="false">IF($B368="","",IFERROR(LOOKUP(2^15,SEARCH(Rules!$A$2:$A$200&amp;"",$B368)/(Rules!$A$2:$A$200&lt;&gt;""),Rules!$B$2:$B$200),"Uncategorized"))</f>
        <v/>
      </c>
      <c r="E368" s="3" t="str">
        <f aca="false">IF($B368="","",IF($C368&gt;=0,"Income","Expense"))</f>
        <v/>
      </c>
      <c r="F368" s="3" t="str">
        <f aca="false">IF($B368="","",IFERROR(LOOKUP(2^15,SEARCH(Rules!$A$2:$A$200&amp;"",$B368)/(Rules!$A$2:$A$200&lt;&gt;""),Rules!$A$2:$A$200),""))</f>
        <v/>
      </c>
      <c r="G368" s="3" t="str">
        <f aca="false">IF($B368="","",IF(D368="Uncategorized","⚠ Review",IF(IFERROR(LOOKUP(2^15,SEARCH(Rules!$A$2:$A$200&amp;"",$B368)/(Rules!$A$2:$A$200&lt;&gt;""),Rules!$C$2:$C$200),"")&lt;&gt;E368,"⚠ Check sign","OK")))</f>
        <v/>
      </c>
    </row>
    <row r="369" customFormat="false" ht="15" hidden="false" customHeight="false" outlineLevel="0" collapsed="false">
      <c r="A369" s="3"/>
      <c r="B369" s="3"/>
      <c r="C369" s="3"/>
      <c r="D369" s="3" t="str">
        <f aca="false">IF($B369="","",IFERROR(LOOKUP(2^15,SEARCH(Rules!$A$2:$A$200&amp;"",$B369)/(Rules!$A$2:$A$200&lt;&gt;""),Rules!$B$2:$B$200),"Uncategorized"))</f>
        <v/>
      </c>
      <c r="E369" s="3" t="str">
        <f aca="false">IF($B369="","",IF($C369&gt;=0,"Income","Expense"))</f>
        <v/>
      </c>
      <c r="F369" s="3" t="str">
        <f aca="false">IF($B369="","",IFERROR(LOOKUP(2^15,SEARCH(Rules!$A$2:$A$200&amp;"",$B369)/(Rules!$A$2:$A$200&lt;&gt;""),Rules!$A$2:$A$200),""))</f>
        <v/>
      </c>
      <c r="G369" s="3" t="str">
        <f aca="false">IF($B369="","",IF(D369="Uncategorized","⚠ Review",IF(IFERROR(LOOKUP(2^15,SEARCH(Rules!$A$2:$A$200&amp;"",$B369)/(Rules!$A$2:$A$200&lt;&gt;""),Rules!$C$2:$C$200),"")&lt;&gt;E369,"⚠ Check sign","OK")))</f>
        <v/>
      </c>
    </row>
    <row r="370" customFormat="false" ht="15" hidden="false" customHeight="false" outlineLevel="0" collapsed="false">
      <c r="A370" s="3"/>
      <c r="B370" s="3"/>
      <c r="C370" s="3"/>
      <c r="D370" s="3" t="str">
        <f aca="false">IF($B370="","",IFERROR(LOOKUP(2^15,SEARCH(Rules!$A$2:$A$200&amp;"",$B370)/(Rules!$A$2:$A$200&lt;&gt;""),Rules!$B$2:$B$200),"Uncategorized"))</f>
        <v/>
      </c>
      <c r="E370" s="3" t="str">
        <f aca="false">IF($B370="","",IF($C370&gt;=0,"Income","Expense"))</f>
        <v/>
      </c>
      <c r="F370" s="3" t="str">
        <f aca="false">IF($B370="","",IFERROR(LOOKUP(2^15,SEARCH(Rules!$A$2:$A$200&amp;"",$B370)/(Rules!$A$2:$A$200&lt;&gt;""),Rules!$A$2:$A$200),""))</f>
        <v/>
      </c>
      <c r="G370" s="3" t="str">
        <f aca="false">IF($B370="","",IF(D370="Uncategorized","⚠ Review",IF(IFERROR(LOOKUP(2^15,SEARCH(Rules!$A$2:$A$200&amp;"",$B370)/(Rules!$A$2:$A$200&lt;&gt;""),Rules!$C$2:$C$200),"")&lt;&gt;E370,"⚠ Check sign","OK")))</f>
        <v/>
      </c>
    </row>
    <row r="371" customFormat="false" ht="15" hidden="false" customHeight="false" outlineLevel="0" collapsed="false">
      <c r="A371" s="3"/>
      <c r="B371" s="3"/>
      <c r="C371" s="3"/>
      <c r="D371" s="3" t="str">
        <f aca="false">IF($B371="","",IFERROR(LOOKUP(2^15,SEARCH(Rules!$A$2:$A$200&amp;"",$B371)/(Rules!$A$2:$A$200&lt;&gt;""),Rules!$B$2:$B$200),"Uncategorized"))</f>
        <v/>
      </c>
      <c r="E371" s="3" t="str">
        <f aca="false">IF($B371="","",IF($C371&gt;=0,"Income","Expense"))</f>
        <v/>
      </c>
      <c r="F371" s="3" t="str">
        <f aca="false">IF($B371="","",IFERROR(LOOKUP(2^15,SEARCH(Rules!$A$2:$A$200&amp;"",$B371)/(Rules!$A$2:$A$200&lt;&gt;""),Rules!$A$2:$A$200),""))</f>
        <v/>
      </c>
      <c r="G371" s="3" t="str">
        <f aca="false">IF($B371="","",IF(D371="Uncategorized","⚠ Review",IF(IFERROR(LOOKUP(2^15,SEARCH(Rules!$A$2:$A$200&amp;"",$B371)/(Rules!$A$2:$A$200&lt;&gt;""),Rules!$C$2:$C$200),"")&lt;&gt;E371,"⚠ Check sign","OK")))</f>
        <v/>
      </c>
    </row>
    <row r="372" customFormat="false" ht="15" hidden="false" customHeight="false" outlineLevel="0" collapsed="false">
      <c r="A372" s="3"/>
      <c r="B372" s="3"/>
      <c r="C372" s="3"/>
      <c r="D372" s="3" t="str">
        <f aca="false">IF($B372="","",IFERROR(LOOKUP(2^15,SEARCH(Rules!$A$2:$A$200&amp;"",$B372)/(Rules!$A$2:$A$200&lt;&gt;""),Rules!$B$2:$B$200),"Uncategorized"))</f>
        <v/>
      </c>
      <c r="E372" s="3" t="str">
        <f aca="false">IF($B372="","",IF($C372&gt;=0,"Income","Expense"))</f>
        <v/>
      </c>
      <c r="F372" s="3" t="str">
        <f aca="false">IF($B372="","",IFERROR(LOOKUP(2^15,SEARCH(Rules!$A$2:$A$200&amp;"",$B372)/(Rules!$A$2:$A$200&lt;&gt;""),Rules!$A$2:$A$200),""))</f>
        <v/>
      </c>
      <c r="G372" s="3" t="str">
        <f aca="false">IF($B372="","",IF(D372="Uncategorized","⚠ Review",IF(IFERROR(LOOKUP(2^15,SEARCH(Rules!$A$2:$A$200&amp;"",$B372)/(Rules!$A$2:$A$200&lt;&gt;""),Rules!$C$2:$C$200),"")&lt;&gt;E372,"⚠ Check sign","OK")))</f>
        <v/>
      </c>
    </row>
    <row r="373" customFormat="false" ht="15" hidden="false" customHeight="false" outlineLevel="0" collapsed="false">
      <c r="A373" s="3"/>
      <c r="B373" s="3"/>
      <c r="C373" s="3"/>
      <c r="D373" s="3" t="str">
        <f aca="false">IF($B373="","",IFERROR(LOOKUP(2^15,SEARCH(Rules!$A$2:$A$200&amp;"",$B373)/(Rules!$A$2:$A$200&lt;&gt;""),Rules!$B$2:$B$200),"Uncategorized"))</f>
        <v/>
      </c>
      <c r="E373" s="3" t="str">
        <f aca="false">IF($B373="","",IF($C373&gt;=0,"Income","Expense"))</f>
        <v/>
      </c>
      <c r="F373" s="3" t="str">
        <f aca="false">IF($B373="","",IFERROR(LOOKUP(2^15,SEARCH(Rules!$A$2:$A$200&amp;"",$B373)/(Rules!$A$2:$A$200&lt;&gt;""),Rules!$A$2:$A$200),""))</f>
        <v/>
      </c>
      <c r="G373" s="3" t="str">
        <f aca="false">IF($B373="","",IF(D373="Uncategorized","⚠ Review",IF(IFERROR(LOOKUP(2^15,SEARCH(Rules!$A$2:$A$200&amp;"",$B373)/(Rules!$A$2:$A$200&lt;&gt;""),Rules!$C$2:$C$200),"")&lt;&gt;E373,"⚠ Check sign","OK")))</f>
        <v/>
      </c>
    </row>
    <row r="374" customFormat="false" ht="15" hidden="false" customHeight="false" outlineLevel="0" collapsed="false">
      <c r="A374" s="3"/>
      <c r="B374" s="3"/>
      <c r="C374" s="3"/>
      <c r="D374" s="3" t="str">
        <f aca="false">IF($B374="","",IFERROR(LOOKUP(2^15,SEARCH(Rules!$A$2:$A$200&amp;"",$B374)/(Rules!$A$2:$A$200&lt;&gt;""),Rules!$B$2:$B$200),"Uncategorized"))</f>
        <v/>
      </c>
      <c r="E374" s="3" t="str">
        <f aca="false">IF($B374="","",IF($C374&gt;=0,"Income","Expense"))</f>
        <v/>
      </c>
      <c r="F374" s="3" t="str">
        <f aca="false">IF($B374="","",IFERROR(LOOKUP(2^15,SEARCH(Rules!$A$2:$A$200&amp;"",$B374)/(Rules!$A$2:$A$200&lt;&gt;""),Rules!$A$2:$A$200),""))</f>
        <v/>
      </c>
      <c r="G374" s="3" t="str">
        <f aca="false">IF($B374="","",IF(D374="Uncategorized","⚠ Review",IF(IFERROR(LOOKUP(2^15,SEARCH(Rules!$A$2:$A$200&amp;"",$B374)/(Rules!$A$2:$A$200&lt;&gt;""),Rules!$C$2:$C$200),"")&lt;&gt;E374,"⚠ Check sign","OK")))</f>
        <v/>
      </c>
    </row>
    <row r="375" customFormat="false" ht="15" hidden="false" customHeight="false" outlineLevel="0" collapsed="false">
      <c r="A375" s="3"/>
      <c r="B375" s="3"/>
      <c r="C375" s="3"/>
      <c r="D375" s="3" t="str">
        <f aca="false">IF($B375="","",IFERROR(LOOKUP(2^15,SEARCH(Rules!$A$2:$A$200&amp;"",$B375)/(Rules!$A$2:$A$200&lt;&gt;""),Rules!$B$2:$B$200),"Uncategorized"))</f>
        <v/>
      </c>
      <c r="E375" s="3" t="str">
        <f aca="false">IF($B375="","",IF($C375&gt;=0,"Income","Expense"))</f>
        <v/>
      </c>
      <c r="F375" s="3" t="str">
        <f aca="false">IF($B375="","",IFERROR(LOOKUP(2^15,SEARCH(Rules!$A$2:$A$200&amp;"",$B375)/(Rules!$A$2:$A$200&lt;&gt;""),Rules!$A$2:$A$200),""))</f>
        <v/>
      </c>
      <c r="G375" s="3" t="str">
        <f aca="false">IF($B375="","",IF(D375="Uncategorized","⚠ Review",IF(IFERROR(LOOKUP(2^15,SEARCH(Rules!$A$2:$A$200&amp;"",$B375)/(Rules!$A$2:$A$200&lt;&gt;""),Rules!$C$2:$C$200),"")&lt;&gt;E375,"⚠ Check sign","OK")))</f>
        <v/>
      </c>
    </row>
    <row r="376" customFormat="false" ht="15" hidden="false" customHeight="false" outlineLevel="0" collapsed="false">
      <c r="A376" s="3"/>
      <c r="B376" s="3"/>
      <c r="C376" s="3"/>
      <c r="D376" s="3" t="str">
        <f aca="false">IF($B376="","",IFERROR(LOOKUP(2^15,SEARCH(Rules!$A$2:$A$200&amp;"",$B376)/(Rules!$A$2:$A$200&lt;&gt;""),Rules!$B$2:$B$200),"Uncategorized"))</f>
        <v/>
      </c>
      <c r="E376" s="3" t="str">
        <f aca="false">IF($B376="","",IF($C376&gt;=0,"Income","Expense"))</f>
        <v/>
      </c>
      <c r="F376" s="3" t="str">
        <f aca="false">IF($B376="","",IFERROR(LOOKUP(2^15,SEARCH(Rules!$A$2:$A$200&amp;"",$B376)/(Rules!$A$2:$A$200&lt;&gt;""),Rules!$A$2:$A$200),""))</f>
        <v/>
      </c>
      <c r="G376" s="3" t="str">
        <f aca="false">IF($B376="","",IF(D376="Uncategorized","⚠ Review",IF(IFERROR(LOOKUP(2^15,SEARCH(Rules!$A$2:$A$200&amp;"",$B376)/(Rules!$A$2:$A$200&lt;&gt;""),Rules!$C$2:$C$200),"")&lt;&gt;E376,"⚠ Check sign","OK")))</f>
        <v/>
      </c>
    </row>
    <row r="377" customFormat="false" ht="15" hidden="false" customHeight="false" outlineLevel="0" collapsed="false">
      <c r="A377" s="3"/>
      <c r="B377" s="3"/>
      <c r="C377" s="3"/>
      <c r="D377" s="3" t="str">
        <f aca="false">IF($B377="","",IFERROR(LOOKUP(2^15,SEARCH(Rules!$A$2:$A$200&amp;"",$B377)/(Rules!$A$2:$A$200&lt;&gt;""),Rules!$B$2:$B$200),"Uncategorized"))</f>
        <v/>
      </c>
      <c r="E377" s="3" t="str">
        <f aca="false">IF($B377="","",IF($C377&gt;=0,"Income","Expense"))</f>
        <v/>
      </c>
      <c r="F377" s="3" t="str">
        <f aca="false">IF($B377="","",IFERROR(LOOKUP(2^15,SEARCH(Rules!$A$2:$A$200&amp;"",$B377)/(Rules!$A$2:$A$200&lt;&gt;""),Rules!$A$2:$A$200),""))</f>
        <v/>
      </c>
      <c r="G377" s="3" t="str">
        <f aca="false">IF($B377="","",IF(D377="Uncategorized","⚠ Review",IF(IFERROR(LOOKUP(2^15,SEARCH(Rules!$A$2:$A$200&amp;"",$B377)/(Rules!$A$2:$A$200&lt;&gt;""),Rules!$C$2:$C$200),"")&lt;&gt;E377,"⚠ Check sign","OK")))</f>
        <v/>
      </c>
    </row>
    <row r="378" customFormat="false" ht="15" hidden="false" customHeight="false" outlineLevel="0" collapsed="false">
      <c r="A378" s="3"/>
      <c r="B378" s="3"/>
      <c r="C378" s="3"/>
      <c r="D378" s="3" t="str">
        <f aca="false">IF($B378="","",IFERROR(LOOKUP(2^15,SEARCH(Rules!$A$2:$A$200&amp;"",$B378)/(Rules!$A$2:$A$200&lt;&gt;""),Rules!$B$2:$B$200),"Uncategorized"))</f>
        <v/>
      </c>
      <c r="E378" s="3" t="str">
        <f aca="false">IF($B378="","",IF($C378&gt;=0,"Income","Expense"))</f>
        <v/>
      </c>
      <c r="F378" s="3" t="str">
        <f aca="false">IF($B378="","",IFERROR(LOOKUP(2^15,SEARCH(Rules!$A$2:$A$200&amp;"",$B378)/(Rules!$A$2:$A$200&lt;&gt;""),Rules!$A$2:$A$200),""))</f>
        <v/>
      </c>
      <c r="G378" s="3" t="str">
        <f aca="false">IF($B378="","",IF(D378="Uncategorized","⚠ Review",IF(IFERROR(LOOKUP(2^15,SEARCH(Rules!$A$2:$A$200&amp;"",$B378)/(Rules!$A$2:$A$200&lt;&gt;""),Rules!$C$2:$C$200),"")&lt;&gt;E378,"⚠ Check sign","OK")))</f>
        <v/>
      </c>
    </row>
    <row r="379" customFormat="false" ht="15" hidden="false" customHeight="false" outlineLevel="0" collapsed="false">
      <c r="A379" s="3"/>
      <c r="B379" s="3"/>
      <c r="C379" s="3"/>
      <c r="D379" s="3" t="str">
        <f aca="false">IF($B379="","",IFERROR(LOOKUP(2^15,SEARCH(Rules!$A$2:$A$200&amp;"",$B379)/(Rules!$A$2:$A$200&lt;&gt;""),Rules!$B$2:$B$200),"Uncategorized"))</f>
        <v/>
      </c>
      <c r="E379" s="3" t="str">
        <f aca="false">IF($B379="","",IF($C379&gt;=0,"Income","Expense"))</f>
        <v/>
      </c>
      <c r="F379" s="3" t="str">
        <f aca="false">IF($B379="","",IFERROR(LOOKUP(2^15,SEARCH(Rules!$A$2:$A$200&amp;"",$B379)/(Rules!$A$2:$A$200&lt;&gt;""),Rules!$A$2:$A$200),""))</f>
        <v/>
      </c>
      <c r="G379" s="3" t="str">
        <f aca="false">IF($B379="","",IF(D379="Uncategorized","⚠ Review",IF(IFERROR(LOOKUP(2^15,SEARCH(Rules!$A$2:$A$200&amp;"",$B379)/(Rules!$A$2:$A$200&lt;&gt;""),Rules!$C$2:$C$200),"")&lt;&gt;E379,"⚠ Check sign","OK")))</f>
        <v/>
      </c>
    </row>
    <row r="380" customFormat="false" ht="15" hidden="false" customHeight="false" outlineLevel="0" collapsed="false">
      <c r="A380" s="3"/>
      <c r="B380" s="3"/>
      <c r="C380" s="3"/>
      <c r="D380" s="3" t="str">
        <f aca="false">IF($B380="","",IFERROR(LOOKUP(2^15,SEARCH(Rules!$A$2:$A$200&amp;"",$B380)/(Rules!$A$2:$A$200&lt;&gt;""),Rules!$B$2:$B$200),"Uncategorized"))</f>
        <v/>
      </c>
      <c r="E380" s="3" t="str">
        <f aca="false">IF($B380="","",IF($C380&gt;=0,"Income","Expense"))</f>
        <v/>
      </c>
      <c r="F380" s="3" t="str">
        <f aca="false">IF($B380="","",IFERROR(LOOKUP(2^15,SEARCH(Rules!$A$2:$A$200&amp;"",$B380)/(Rules!$A$2:$A$200&lt;&gt;""),Rules!$A$2:$A$200),""))</f>
        <v/>
      </c>
      <c r="G380" s="3" t="str">
        <f aca="false">IF($B380="","",IF(D380="Uncategorized","⚠ Review",IF(IFERROR(LOOKUP(2^15,SEARCH(Rules!$A$2:$A$200&amp;"",$B380)/(Rules!$A$2:$A$200&lt;&gt;""),Rules!$C$2:$C$200),"")&lt;&gt;E380,"⚠ Check sign","OK")))</f>
        <v/>
      </c>
    </row>
    <row r="381" customFormat="false" ht="15" hidden="false" customHeight="false" outlineLevel="0" collapsed="false">
      <c r="A381" s="3"/>
      <c r="B381" s="3"/>
      <c r="C381" s="3"/>
      <c r="D381" s="3" t="str">
        <f aca="false">IF($B381="","",IFERROR(LOOKUP(2^15,SEARCH(Rules!$A$2:$A$200&amp;"",$B381)/(Rules!$A$2:$A$200&lt;&gt;""),Rules!$B$2:$B$200),"Uncategorized"))</f>
        <v/>
      </c>
      <c r="E381" s="3" t="str">
        <f aca="false">IF($B381="","",IF($C381&gt;=0,"Income","Expense"))</f>
        <v/>
      </c>
      <c r="F381" s="3" t="str">
        <f aca="false">IF($B381="","",IFERROR(LOOKUP(2^15,SEARCH(Rules!$A$2:$A$200&amp;"",$B381)/(Rules!$A$2:$A$200&lt;&gt;""),Rules!$A$2:$A$200),""))</f>
        <v/>
      </c>
      <c r="G381" s="3" t="str">
        <f aca="false">IF($B381="","",IF(D381="Uncategorized","⚠ Review",IF(IFERROR(LOOKUP(2^15,SEARCH(Rules!$A$2:$A$200&amp;"",$B381)/(Rules!$A$2:$A$200&lt;&gt;""),Rules!$C$2:$C$200),"")&lt;&gt;E381,"⚠ Check sign","OK")))</f>
        <v/>
      </c>
    </row>
    <row r="382" customFormat="false" ht="15" hidden="false" customHeight="false" outlineLevel="0" collapsed="false">
      <c r="A382" s="3"/>
      <c r="B382" s="3"/>
      <c r="C382" s="3"/>
      <c r="D382" s="3" t="str">
        <f aca="false">IF($B382="","",IFERROR(LOOKUP(2^15,SEARCH(Rules!$A$2:$A$200&amp;"",$B382)/(Rules!$A$2:$A$200&lt;&gt;""),Rules!$B$2:$B$200),"Uncategorized"))</f>
        <v/>
      </c>
      <c r="E382" s="3" t="str">
        <f aca="false">IF($B382="","",IF($C382&gt;=0,"Income","Expense"))</f>
        <v/>
      </c>
      <c r="F382" s="3" t="str">
        <f aca="false">IF($B382="","",IFERROR(LOOKUP(2^15,SEARCH(Rules!$A$2:$A$200&amp;"",$B382)/(Rules!$A$2:$A$200&lt;&gt;""),Rules!$A$2:$A$200),""))</f>
        <v/>
      </c>
      <c r="G382" s="3" t="str">
        <f aca="false">IF($B382="","",IF(D382="Uncategorized","⚠ Review",IF(IFERROR(LOOKUP(2^15,SEARCH(Rules!$A$2:$A$200&amp;"",$B382)/(Rules!$A$2:$A$200&lt;&gt;""),Rules!$C$2:$C$200),"")&lt;&gt;E382,"⚠ Check sign","OK")))</f>
        <v/>
      </c>
    </row>
    <row r="383" customFormat="false" ht="15" hidden="false" customHeight="false" outlineLevel="0" collapsed="false">
      <c r="A383" s="3"/>
      <c r="B383" s="3"/>
      <c r="C383" s="3"/>
      <c r="D383" s="3" t="str">
        <f aca="false">IF($B383="","",IFERROR(LOOKUP(2^15,SEARCH(Rules!$A$2:$A$200&amp;"",$B383)/(Rules!$A$2:$A$200&lt;&gt;""),Rules!$B$2:$B$200),"Uncategorized"))</f>
        <v/>
      </c>
      <c r="E383" s="3" t="str">
        <f aca="false">IF($B383="","",IF($C383&gt;=0,"Income","Expense"))</f>
        <v/>
      </c>
      <c r="F383" s="3" t="str">
        <f aca="false">IF($B383="","",IFERROR(LOOKUP(2^15,SEARCH(Rules!$A$2:$A$200&amp;"",$B383)/(Rules!$A$2:$A$200&lt;&gt;""),Rules!$A$2:$A$200),""))</f>
        <v/>
      </c>
      <c r="G383" s="3" t="str">
        <f aca="false">IF($B383="","",IF(D383="Uncategorized","⚠ Review",IF(IFERROR(LOOKUP(2^15,SEARCH(Rules!$A$2:$A$200&amp;"",$B383)/(Rules!$A$2:$A$200&lt;&gt;""),Rules!$C$2:$C$200),"")&lt;&gt;E383,"⚠ Check sign","OK")))</f>
        <v/>
      </c>
    </row>
    <row r="384" customFormat="false" ht="15" hidden="false" customHeight="false" outlineLevel="0" collapsed="false">
      <c r="A384" s="3"/>
      <c r="B384" s="3"/>
      <c r="C384" s="3"/>
      <c r="D384" s="3" t="str">
        <f aca="false">IF($B384="","",IFERROR(LOOKUP(2^15,SEARCH(Rules!$A$2:$A$200&amp;"",$B384)/(Rules!$A$2:$A$200&lt;&gt;""),Rules!$B$2:$B$200),"Uncategorized"))</f>
        <v/>
      </c>
      <c r="E384" s="3" t="str">
        <f aca="false">IF($B384="","",IF($C384&gt;=0,"Income","Expense"))</f>
        <v/>
      </c>
      <c r="F384" s="3" t="str">
        <f aca="false">IF($B384="","",IFERROR(LOOKUP(2^15,SEARCH(Rules!$A$2:$A$200&amp;"",$B384)/(Rules!$A$2:$A$200&lt;&gt;""),Rules!$A$2:$A$200),""))</f>
        <v/>
      </c>
      <c r="G384" s="3" t="str">
        <f aca="false">IF($B384="","",IF(D384="Uncategorized","⚠ Review",IF(IFERROR(LOOKUP(2^15,SEARCH(Rules!$A$2:$A$200&amp;"",$B384)/(Rules!$A$2:$A$200&lt;&gt;""),Rules!$C$2:$C$200),"")&lt;&gt;E384,"⚠ Check sign","OK")))</f>
        <v/>
      </c>
    </row>
    <row r="385" customFormat="false" ht="15" hidden="false" customHeight="false" outlineLevel="0" collapsed="false">
      <c r="A385" s="3"/>
      <c r="B385" s="3"/>
      <c r="C385" s="3"/>
      <c r="D385" s="3" t="str">
        <f aca="false">IF($B385="","",IFERROR(LOOKUP(2^15,SEARCH(Rules!$A$2:$A$200&amp;"",$B385)/(Rules!$A$2:$A$200&lt;&gt;""),Rules!$B$2:$B$200),"Uncategorized"))</f>
        <v/>
      </c>
      <c r="E385" s="3" t="str">
        <f aca="false">IF($B385="","",IF($C385&gt;=0,"Income","Expense"))</f>
        <v/>
      </c>
      <c r="F385" s="3" t="str">
        <f aca="false">IF($B385="","",IFERROR(LOOKUP(2^15,SEARCH(Rules!$A$2:$A$200&amp;"",$B385)/(Rules!$A$2:$A$200&lt;&gt;""),Rules!$A$2:$A$200),""))</f>
        <v/>
      </c>
      <c r="G385" s="3" t="str">
        <f aca="false">IF($B385="","",IF(D385="Uncategorized","⚠ Review",IF(IFERROR(LOOKUP(2^15,SEARCH(Rules!$A$2:$A$200&amp;"",$B385)/(Rules!$A$2:$A$200&lt;&gt;""),Rules!$C$2:$C$200),"")&lt;&gt;E385,"⚠ Check sign","OK")))</f>
        <v/>
      </c>
    </row>
    <row r="386" customFormat="false" ht="15" hidden="false" customHeight="false" outlineLevel="0" collapsed="false">
      <c r="A386" s="3"/>
      <c r="B386" s="3"/>
      <c r="C386" s="3"/>
      <c r="D386" s="3" t="str">
        <f aca="false">IF($B386="","",IFERROR(LOOKUP(2^15,SEARCH(Rules!$A$2:$A$200&amp;"",$B386)/(Rules!$A$2:$A$200&lt;&gt;""),Rules!$B$2:$B$200),"Uncategorized"))</f>
        <v/>
      </c>
      <c r="E386" s="3" t="str">
        <f aca="false">IF($B386="","",IF($C386&gt;=0,"Income","Expense"))</f>
        <v/>
      </c>
      <c r="F386" s="3" t="str">
        <f aca="false">IF($B386="","",IFERROR(LOOKUP(2^15,SEARCH(Rules!$A$2:$A$200&amp;"",$B386)/(Rules!$A$2:$A$200&lt;&gt;""),Rules!$A$2:$A$200),""))</f>
        <v/>
      </c>
      <c r="G386" s="3" t="str">
        <f aca="false">IF($B386="","",IF(D386="Uncategorized","⚠ Review",IF(IFERROR(LOOKUP(2^15,SEARCH(Rules!$A$2:$A$200&amp;"",$B386)/(Rules!$A$2:$A$200&lt;&gt;""),Rules!$C$2:$C$200),"")&lt;&gt;E386,"⚠ Check sign","OK")))</f>
        <v/>
      </c>
    </row>
    <row r="387" customFormat="false" ht="15" hidden="false" customHeight="false" outlineLevel="0" collapsed="false">
      <c r="A387" s="3"/>
      <c r="B387" s="3"/>
      <c r="C387" s="3"/>
      <c r="D387" s="3" t="str">
        <f aca="false">IF($B387="","",IFERROR(LOOKUP(2^15,SEARCH(Rules!$A$2:$A$200&amp;"",$B387)/(Rules!$A$2:$A$200&lt;&gt;""),Rules!$B$2:$B$200),"Uncategorized"))</f>
        <v/>
      </c>
      <c r="E387" s="3" t="str">
        <f aca="false">IF($B387="","",IF($C387&gt;=0,"Income","Expense"))</f>
        <v/>
      </c>
      <c r="F387" s="3" t="str">
        <f aca="false">IF($B387="","",IFERROR(LOOKUP(2^15,SEARCH(Rules!$A$2:$A$200&amp;"",$B387)/(Rules!$A$2:$A$200&lt;&gt;""),Rules!$A$2:$A$200),""))</f>
        <v/>
      </c>
      <c r="G387" s="3" t="str">
        <f aca="false">IF($B387="","",IF(D387="Uncategorized","⚠ Review",IF(IFERROR(LOOKUP(2^15,SEARCH(Rules!$A$2:$A$200&amp;"",$B387)/(Rules!$A$2:$A$200&lt;&gt;""),Rules!$C$2:$C$200),"")&lt;&gt;E387,"⚠ Check sign","OK")))</f>
        <v/>
      </c>
    </row>
    <row r="388" customFormat="false" ht="15" hidden="false" customHeight="false" outlineLevel="0" collapsed="false">
      <c r="A388" s="3"/>
      <c r="B388" s="3"/>
      <c r="C388" s="3"/>
      <c r="D388" s="3" t="str">
        <f aca="false">IF($B388="","",IFERROR(LOOKUP(2^15,SEARCH(Rules!$A$2:$A$200&amp;"",$B388)/(Rules!$A$2:$A$200&lt;&gt;""),Rules!$B$2:$B$200),"Uncategorized"))</f>
        <v/>
      </c>
      <c r="E388" s="3" t="str">
        <f aca="false">IF($B388="","",IF($C388&gt;=0,"Income","Expense"))</f>
        <v/>
      </c>
      <c r="F388" s="3" t="str">
        <f aca="false">IF($B388="","",IFERROR(LOOKUP(2^15,SEARCH(Rules!$A$2:$A$200&amp;"",$B388)/(Rules!$A$2:$A$200&lt;&gt;""),Rules!$A$2:$A$200),""))</f>
        <v/>
      </c>
      <c r="G388" s="3" t="str">
        <f aca="false">IF($B388="","",IF(D388="Uncategorized","⚠ Review",IF(IFERROR(LOOKUP(2^15,SEARCH(Rules!$A$2:$A$200&amp;"",$B388)/(Rules!$A$2:$A$200&lt;&gt;""),Rules!$C$2:$C$200),"")&lt;&gt;E388,"⚠ Check sign","OK")))</f>
        <v/>
      </c>
    </row>
    <row r="389" customFormat="false" ht="15" hidden="false" customHeight="false" outlineLevel="0" collapsed="false">
      <c r="A389" s="3"/>
      <c r="B389" s="3"/>
      <c r="C389" s="3"/>
      <c r="D389" s="3" t="str">
        <f aca="false">IF($B389="","",IFERROR(LOOKUP(2^15,SEARCH(Rules!$A$2:$A$200&amp;"",$B389)/(Rules!$A$2:$A$200&lt;&gt;""),Rules!$B$2:$B$200),"Uncategorized"))</f>
        <v/>
      </c>
      <c r="E389" s="3" t="str">
        <f aca="false">IF($B389="","",IF($C389&gt;=0,"Income","Expense"))</f>
        <v/>
      </c>
      <c r="F389" s="3" t="str">
        <f aca="false">IF($B389="","",IFERROR(LOOKUP(2^15,SEARCH(Rules!$A$2:$A$200&amp;"",$B389)/(Rules!$A$2:$A$200&lt;&gt;""),Rules!$A$2:$A$200),""))</f>
        <v/>
      </c>
      <c r="G389" s="3" t="str">
        <f aca="false">IF($B389="","",IF(D389="Uncategorized","⚠ Review",IF(IFERROR(LOOKUP(2^15,SEARCH(Rules!$A$2:$A$200&amp;"",$B389)/(Rules!$A$2:$A$200&lt;&gt;""),Rules!$C$2:$C$200),"")&lt;&gt;E389,"⚠ Check sign","OK")))</f>
        <v/>
      </c>
    </row>
    <row r="390" customFormat="false" ht="15" hidden="false" customHeight="false" outlineLevel="0" collapsed="false">
      <c r="A390" s="3"/>
      <c r="B390" s="3"/>
      <c r="C390" s="3"/>
      <c r="D390" s="3" t="str">
        <f aca="false">IF($B390="","",IFERROR(LOOKUP(2^15,SEARCH(Rules!$A$2:$A$200&amp;"",$B390)/(Rules!$A$2:$A$200&lt;&gt;""),Rules!$B$2:$B$200),"Uncategorized"))</f>
        <v/>
      </c>
      <c r="E390" s="3" t="str">
        <f aca="false">IF($B390="","",IF($C390&gt;=0,"Income","Expense"))</f>
        <v/>
      </c>
      <c r="F390" s="3" t="str">
        <f aca="false">IF($B390="","",IFERROR(LOOKUP(2^15,SEARCH(Rules!$A$2:$A$200&amp;"",$B390)/(Rules!$A$2:$A$200&lt;&gt;""),Rules!$A$2:$A$200),""))</f>
        <v/>
      </c>
      <c r="G390" s="3" t="str">
        <f aca="false">IF($B390="","",IF(D390="Uncategorized","⚠ Review",IF(IFERROR(LOOKUP(2^15,SEARCH(Rules!$A$2:$A$200&amp;"",$B390)/(Rules!$A$2:$A$200&lt;&gt;""),Rules!$C$2:$C$200),"")&lt;&gt;E390,"⚠ Check sign","OK")))</f>
        <v/>
      </c>
    </row>
    <row r="391" customFormat="false" ht="15" hidden="false" customHeight="false" outlineLevel="0" collapsed="false">
      <c r="A391" s="3"/>
      <c r="B391" s="3"/>
      <c r="C391" s="3"/>
      <c r="D391" s="3" t="str">
        <f aca="false">IF($B391="","",IFERROR(LOOKUP(2^15,SEARCH(Rules!$A$2:$A$200&amp;"",$B391)/(Rules!$A$2:$A$200&lt;&gt;""),Rules!$B$2:$B$200),"Uncategorized"))</f>
        <v/>
      </c>
      <c r="E391" s="3" t="str">
        <f aca="false">IF($B391="","",IF($C391&gt;=0,"Income","Expense"))</f>
        <v/>
      </c>
      <c r="F391" s="3" t="str">
        <f aca="false">IF($B391="","",IFERROR(LOOKUP(2^15,SEARCH(Rules!$A$2:$A$200&amp;"",$B391)/(Rules!$A$2:$A$200&lt;&gt;""),Rules!$A$2:$A$200),""))</f>
        <v/>
      </c>
      <c r="G391" s="3" t="str">
        <f aca="false">IF($B391="","",IF(D391="Uncategorized","⚠ Review",IF(IFERROR(LOOKUP(2^15,SEARCH(Rules!$A$2:$A$200&amp;"",$B391)/(Rules!$A$2:$A$200&lt;&gt;""),Rules!$C$2:$C$200),"")&lt;&gt;E391,"⚠ Check sign","OK")))</f>
        <v/>
      </c>
    </row>
    <row r="392" customFormat="false" ht="15" hidden="false" customHeight="false" outlineLevel="0" collapsed="false">
      <c r="A392" s="3"/>
      <c r="B392" s="3"/>
      <c r="C392" s="3"/>
      <c r="D392" s="3" t="str">
        <f aca="false">IF($B392="","",IFERROR(LOOKUP(2^15,SEARCH(Rules!$A$2:$A$200&amp;"",$B392)/(Rules!$A$2:$A$200&lt;&gt;""),Rules!$B$2:$B$200),"Uncategorized"))</f>
        <v/>
      </c>
      <c r="E392" s="3" t="str">
        <f aca="false">IF($B392="","",IF($C392&gt;=0,"Income","Expense"))</f>
        <v/>
      </c>
      <c r="F392" s="3" t="str">
        <f aca="false">IF($B392="","",IFERROR(LOOKUP(2^15,SEARCH(Rules!$A$2:$A$200&amp;"",$B392)/(Rules!$A$2:$A$200&lt;&gt;""),Rules!$A$2:$A$200),""))</f>
        <v/>
      </c>
      <c r="G392" s="3" t="str">
        <f aca="false">IF($B392="","",IF(D392="Uncategorized","⚠ Review",IF(IFERROR(LOOKUP(2^15,SEARCH(Rules!$A$2:$A$200&amp;"",$B392)/(Rules!$A$2:$A$200&lt;&gt;""),Rules!$C$2:$C$200),"")&lt;&gt;E392,"⚠ Check sign","OK")))</f>
        <v/>
      </c>
    </row>
    <row r="393" customFormat="false" ht="15" hidden="false" customHeight="false" outlineLevel="0" collapsed="false">
      <c r="A393" s="3"/>
      <c r="B393" s="3"/>
      <c r="C393" s="3"/>
      <c r="D393" s="3" t="str">
        <f aca="false">IF($B393="","",IFERROR(LOOKUP(2^15,SEARCH(Rules!$A$2:$A$200&amp;"",$B393)/(Rules!$A$2:$A$200&lt;&gt;""),Rules!$B$2:$B$200),"Uncategorized"))</f>
        <v/>
      </c>
      <c r="E393" s="3" t="str">
        <f aca="false">IF($B393="","",IF($C393&gt;=0,"Income","Expense"))</f>
        <v/>
      </c>
      <c r="F393" s="3" t="str">
        <f aca="false">IF($B393="","",IFERROR(LOOKUP(2^15,SEARCH(Rules!$A$2:$A$200&amp;"",$B393)/(Rules!$A$2:$A$200&lt;&gt;""),Rules!$A$2:$A$200),""))</f>
        <v/>
      </c>
      <c r="G393" s="3" t="str">
        <f aca="false">IF($B393="","",IF(D393="Uncategorized","⚠ Review",IF(IFERROR(LOOKUP(2^15,SEARCH(Rules!$A$2:$A$200&amp;"",$B393)/(Rules!$A$2:$A$200&lt;&gt;""),Rules!$C$2:$C$200),"")&lt;&gt;E393,"⚠ Check sign","OK")))</f>
        <v/>
      </c>
    </row>
    <row r="394" customFormat="false" ht="15" hidden="false" customHeight="false" outlineLevel="0" collapsed="false">
      <c r="A394" s="3"/>
      <c r="B394" s="3"/>
      <c r="C394" s="3"/>
      <c r="D394" s="3" t="str">
        <f aca="false">IF($B394="","",IFERROR(LOOKUP(2^15,SEARCH(Rules!$A$2:$A$200&amp;"",$B394)/(Rules!$A$2:$A$200&lt;&gt;""),Rules!$B$2:$B$200),"Uncategorized"))</f>
        <v/>
      </c>
      <c r="E394" s="3" t="str">
        <f aca="false">IF($B394="","",IF($C394&gt;=0,"Income","Expense"))</f>
        <v/>
      </c>
      <c r="F394" s="3" t="str">
        <f aca="false">IF($B394="","",IFERROR(LOOKUP(2^15,SEARCH(Rules!$A$2:$A$200&amp;"",$B394)/(Rules!$A$2:$A$200&lt;&gt;""),Rules!$A$2:$A$200),""))</f>
        <v/>
      </c>
      <c r="G394" s="3" t="str">
        <f aca="false">IF($B394="","",IF(D394="Uncategorized","⚠ Review",IF(IFERROR(LOOKUP(2^15,SEARCH(Rules!$A$2:$A$200&amp;"",$B394)/(Rules!$A$2:$A$200&lt;&gt;""),Rules!$C$2:$C$200),"")&lt;&gt;E394,"⚠ Check sign","OK")))</f>
        <v/>
      </c>
    </row>
    <row r="395" customFormat="false" ht="15" hidden="false" customHeight="false" outlineLevel="0" collapsed="false">
      <c r="A395" s="3"/>
      <c r="B395" s="3"/>
      <c r="C395" s="3"/>
      <c r="D395" s="3" t="str">
        <f aca="false">IF($B395="","",IFERROR(LOOKUP(2^15,SEARCH(Rules!$A$2:$A$200&amp;"",$B395)/(Rules!$A$2:$A$200&lt;&gt;""),Rules!$B$2:$B$200),"Uncategorized"))</f>
        <v/>
      </c>
      <c r="E395" s="3" t="str">
        <f aca="false">IF($B395="","",IF($C395&gt;=0,"Income","Expense"))</f>
        <v/>
      </c>
      <c r="F395" s="3" t="str">
        <f aca="false">IF($B395="","",IFERROR(LOOKUP(2^15,SEARCH(Rules!$A$2:$A$200&amp;"",$B395)/(Rules!$A$2:$A$200&lt;&gt;""),Rules!$A$2:$A$200),""))</f>
        <v/>
      </c>
      <c r="G395" s="3" t="str">
        <f aca="false">IF($B395="","",IF(D395="Uncategorized","⚠ Review",IF(IFERROR(LOOKUP(2^15,SEARCH(Rules!$A$2:$A$200&amp;"",$B395)/(Rules!$A$2:$A$200&lt;&gt;""),Rules!$C$2:$C$200),"")&lt;&gt;E395,"⚠ Check sign","OK")))</f>
        <v/>
      </c>
    </row>
    <row r="396" customFormat="false" ht="15" hidden="false" customHeight="false" outlineLevel="0" collapsed="false">
      <c r="A396" s="3"/>
      <c r="B396" s="3"/>
      <c r="C396" s="3"/>
      <c r="D396" s="3" t="str">
        <f aca="false">IF($B396="","",IFERROR(LOOKUP(2^15,SEARCH(Rules!$A$2:$A$200&amp;"",$B396)/(Rules!$A$2:$A$200&lt;&gt;""),Rules!$B$2:$B$200),"Uncategorized"))</f>
        <v/>
      </c>
      <c r="E396" s="3" t="str">
        <f aca="false">IF($B396="","",IF($C396&gt;=0,"Income","Expense"))</f>
        <v/>
      </c>
      <c r="F396" s="3" t="str">
        <f aca="false">IF($B396="","",IFERROR(LOOKUP(2^15,SEARCH(Rules!$A$2:$A$200&amp;"",$B396)/(Rules!$A$2:$A$200&lt;&gt;""),Rules!$A$2:$A$200),""))</f>
        <v/>
      </c>
      <c r="G396" s="3" t="str">
        <f aca="false">IF($B396="","",IF(D396="Uncategorized","⚠ Review",IF(IFERROR(LOOKUP(2^15,SEARCH(Rules!$A$2:$A$200&amp;"",$B396)/(Rules!$A$2:$A$200&lt;&gt;""),Rules!$C$2:$C$200),"")&lt;&gt;E396,"⚠ Check sign","OK")))</f>
        <v/>
      </c>
    </row>
    <row r="397" customFormat="false" ht="15" hidden="false" customHeight="false" outlineLevel="0" collapsed="false">
      <c r="A397" s="3"/>
      <c r="B397" s="3"/>
      <c r="C397" s="3"/>
      <c r="D397" s="3" t="str">
        <f aca="false">IF($B397="","",IFERROR(LOOKUP(2^15,SEARCH(Rules!$A$2:$A$200&amp;"",$B397)/(Rules!$A$2:$A$200&lt;&gt;""),Rules!$B$2:$B$200),"Uncategorized"))</f>
        <v/>
      </c>
      <c r="E397" s="3" t="str">
        <f aca="false">IF($B397="","",IF($C397&gt;=0,"Income","Expense"))</f>
        <v/>
      </c>
      <c r="F397" s="3" t="str">
        <f aca="false">IF($B397="","",IFERROR(LOOKUP(2^15,SEARCH(Rules!$A$2:$A$200&amp;"",$B397)/(Rules!$A$2:$A$200&lt;&gt;""),Rules!$A$2:$A$200),""))</f>
        <v/>
      </c>
      <c r="G397" s="3" t="str">
        <f aca="false">IF($B397="","",IF(D397="Uncategorized","⚠ Review",IF(IFERROR(LOOKUP(2^15,SEARCH(Rules!$A$2:$A$200&amp;"",$B397)/(Rules!$A$2:$A$200&lt;&gt;""),Rules!$C$2:$C$200),"")&lt;&gt;E397,"⚠ Check sign","OK")))</f>
        <v/>
      </c>
    </row>
    <row r="398" customFormat="false" ht="15" hidden="false" customHeight="false" outlineLevel="0" collapsed="false">
      <c r="A398" s="3"/>
      <c r="B398" s="3"/>
      <c r="C398" s="3"/>
      <c r="D398" s="3" t="str">
        <f aca="false">IF($B398="","",IFERROR(LOOKUP(2^15,SEARCH(Rules!$A$2:$A$200&amp;"",$B398)/(Rules!$A$2:$A$200&lt;&gt;""),Rules!$B$2:$B$200),"Uncategorized"))</f>
        <v/>
      </c>
      <c r="E398" s="3" t="str">
        <f aca="false">IF($B398="","",IF($C398&gt;=0,"Income","Expense"))</f>
        <v/>
      </c>
      <c r="F398" s="3" t="str">
        <f aca="false">IF($B398="","",IFERROR(LOOKUP(2^15,SEARCH(Rules!$A$2:$A$200&amp;"",$B398)/(Rules!$A$2:$A$200&lt;&gt;""),Rules!$A$2:$A$200),""))</f>
        <v/>
      </c>
      <c r="G398" s="3" t="str">
        <f aca="false">IF($B398="","",IF(D398="Uncategorized","⚠ Review",IF(IFERROR(LOOKUP(2^15,SEARCH(Rules!$A$2:$A$200&amp;"",$B398)/(Rules!$A$2:$A$200&lt;&gt;""),Rules!$C$2:$C$200),"")&lt;&gt;E398,"⚠ Check sign","OK")))</f>
        <v/>
      </c>
    </row>
    <row r="399" customFormat="false" ht="15" hidden="false" customHeight="false" outlineLevel="0" collapsed="false">
      <c r="A399" s="3"/>
      <c r="B399" s="3"/>
      <c r="C399" s="3"/>
      <c r="D399" s="3" t="str">
        <f aca="false">IF($B399="","",IFERROR(LOOKUP(2^15,SEARCH(Rules!$A$2:$A$200&amp;"",$B399)/(Rules!$A$2:$A$200&lt;&gt;""),Rules!$B$2:$B$200),"Uncategorized"))</f>
        <v/>
      </c>
      <c r="E399" s="3" t="str">
        <f aca="false">IF($B399="","",IF($C399&gt;=0,"Income","Expense"))</f>
        <v/>
      </c>
      <c r="F399" s="3" t="str">
        <f aca="false">IF($B399="","",IFERROR(LOOKUP(2^15,SEARCH(Rules!$A$2:$A$200&amp;"",$B399)/(Rules!$A$2:$A$200&lt;&gt;""),Rules!$A$2:$A$200),""))</f>
        <v/>
      </c>
      <c r="G399" s="3" t="str">
        <f aca="false">IF($B399="","",IF(D399="Uncategorized","⚠ Review",IF(IFERROR(LOOKUP(2^15,SEARCH(Rules!$A$2:$A$200&amp;"",$B399)/(Rules!$A$2:$A$200&lt;&gt;""),Rules!$C$2:$C$200),"")&lt;&gt;E399,"⚠ Check sign","OK")))</f>
        <v/>
      </c>
    </row>
    <row r="400" customFormat="false" ht="15" hidden="false" customHeight="false" outlineLevel="0" collapsed="false">
      <c r="A400" s="3"/>
      <c r="B400" s="3"/>
      <c r="C400" s="3"/>
      <c r="D400" s="3" t="str">
        <f aca="false">IF($B400="","",IFERROR(LOOKUP(2^15,SEARCH(Rules!$A$2:$A$200&amp;"",$B400)/(Rules!$A$2:$A$200&lt;&gt;""),Rules!$B$2:$B$200),"Uncategorized"))</f>
        <v/>
      </c>
      <c r="E400" s="3" t="str">
        <f aca="false">IF($B400="","",IF($C400&gt;=0,"Income","Expense"))</f>
        <v/>
      </c>
      <c r="F400" s="3" t="str">
        <f aca="false">IF($B400="","",IFERROR(LOOKUP(2^15,SEARCH(Rules!$A$2:$A$200&amp;"",$B400)/(Rules!$A$2:$A$200&lt;&gt;""),Rules!$A$2:$A$200),""))</f>
        <v/>
      </c>
      <c r="G400" s="3" t="str">
        <f aca="false">IF($B400="","",IF(D400="Uncategorized","⚠ Review",IF(IFERROR(LOOKUP(2^15,SEARCH(Rules!$A$2:$A$200&amp;"",$B400)/(Rules!$A$2:$A$200&lt;&gt;""),Rules!$C$2:$C$200),"")&lt;&gt;E400,"⚠ Check sign","OK")))</f>
        <v/>
      </c>
    </row>
    <row r="401" customFormat="false" ht="15" hidden="false" customHeight="false" outlineLevel="0" collapsed="false">
      <c r="A401" s="3"/>
      <c r="B401" s="3"/>
      <c r="C401" s="3"/>
      <c r="D401" s="3" t="str">
        <f aca="false">IF($B401="","",IFERROR(LOOKUP(2^15,SEARCH(Rules!$A$2:$A$200&amp;"",$B401)/(Rules!$A$2:$A$200&lt;&gt;""),Rules!$B$2:$B$200),"Uncategorized"))</f>
        <v/>
      </c>
      <c r="E401" s="3" t="str">
        <f aca="false">IF($B401="","",IF($C401&gt;=0,"Income","Expense"))</f>
        <v/>
      </c>
      <c r="F401" s="3" t="str">
        <f aca="false">IF($B401="","",IFERROR(LOOKUP(2^15,SEARCH(Rules!$A$2:$A$200&amp;"",$B401)/(Rules!$A$2:$A$200&lt;&gt;""),Rules!$A$2:$A$200),""))</f>
        <v/>
      </c>
      <c r="G401" s="3" t="str">
        <f aca="false">IF($B401="","",IF(D401="Uncategorized","⚠ Review",IF(IFERROR(LOOKUP(2^15,SEARCH(Rules!$A$2:$A$200&amp;"",$B401)/(Rules!$A$2:$A$200&lt;&gt;""),Rules!$C$2:$C$200),"")&lt;&gt;E401,"⚠ Check sign","OK")))</f>
        <v/>
      </c>
    </row>
    <row r="402" customFormat="false" ht="15" hidden="false" customHeight="false" outlineLevel="0" collapsed="false">
      <c r="A402" s="3"/>
      <c r="B402" s="3"/>
      <c r="C402" s="3"/>
      <c r="D402" s="3" t="str">
        <f aca="false">IF($B402="","",IFERROR(LOOKUP(2^15,SEARCH(Rules!$A$2:$A$200&amp;"",$B402)/(Rules!$A$2:$A$200&lt;&gt;""),Rules!$B$2:$B$200),"Uncategorized"))</f>
        <v/>
      </c>
      <c r="E402" s="3" t="str">
        <f aca="false">IF($B402="","",IF($C402&gt;=0,"Income","Expense"))</f>
        <v/>
      </c>
      <c r="F402" s="3" t="str">
        <f aca="false">IF($B402="","",IFERROR(LOOKUP(2^15,SEARCH(Rules!$A$2:$A$200&amp;"",$B402)/(Rules!$A$2:$A$200&lt;&gt;""),Rules!$A$2:$A$200),""))</f>
        <v/>
      </c>
      <c r="G402" s="3" t="str">
        <f aca="false">IF($B402="","",IF(D402="Uncategorized","⚠ Review",IF(IFERROR(LOOKUP(2^15,SEARCH(Rules!$A$2:$A$200&amp;"",$B402)/(Rules!$A$2:$A$200&lt;&gt;""),Rules!$C$2:$C$200),"")&lt;&gt;E402,"⚠ Check sign","OK")))</f>
        <v/>
      </c>
    </row>
    <row r="403" customFormat="false" ht="15" hidden="false" customHeight="false" outlineLevel="0" collapsed="false">
      <c r="A403" s="3"/>
      <c r="B403" s="3"/>
      <c r="C403" s="3"/>
      <c r="D403" s="3" t="str">
        <f aca="false">IF($B403="","",IFERROR(LOOKUP(2^15,SEARCH(Rules!$A$2:$A$200&amp;"",$B403)/(Rules!$A$2:$A$200&lt;&gt;""),Rules!$B$2:$B$200),"Uncategorized"))</f>
        <v/>
      </c>
      <c r="E403" s="3" t="str">
        <f aca="false">IF($B403="","",IF($C403&gt;=0,"Income","Expense"))</f>
        <v/>
      </c>
      <c r="F403" s="3" t="str">
        <f aca="false">IF($B403="","",IFERROR(LOOKUP(2^15,SEARCH(Rules!$A$2:$A$200&amp;"",$B403)/(Rules!$A$2:$A$200&lt;&gt;""),Rules!$A$2:$A$200),""))</f>
        <v/>
      </c>
      <c r="G403" s="3" t="str">
        <f aca="false">IF($B403="","",IF(D403="Uncategorized","⚠ Review",IF(IFERROR(LOOKUP(2^15,SEARCH(Rules!$A$2:$A$200&amp;"",$B403)/(Rules!$A$2:$A$200&lt;&gt;""),Rules!$C$2:$C$200),"")&lt;&gt;E403,"⚠ Check sign","OK")))</f>
        <v/>
      </c>
    </row>
    <row r="404" customFormat="false" ht="15" hidden="false" customHeight="false" outlineLevel="0" collapsed="false">
      <c r="A404" s="3"/>
      <c r="B404" s="3"/>
      <c r="C404" s="3"/>
      <c r="D404" s="3" t="str">
        <f aca="false">IF($B404="","",IFERROR(LOOKUP(2^15,SEARCH(Rules!$A$2:$A$200&amp;"",$B404)/(Rules!$A$2:$A$200&lt;&gt;""),Rules!$B$2:$B$200),"Uncategorized"))</f>
        <v/>
      </c>
      <c r="E404" s="3" t="str">
        <f aca="false">IF($B404="","",IF($C404&gt;=0,"Income","Expense"))</f>
        <v/>
      </c>
      <c r="F404" s="3" t="str">
        <f aca="false">IF($B404="","",IFERROR(LOOKUP(2^15,SEARCH(Rules!$A$2:$A$200&amp;"",$B404)/(Rules!$A$2:$A$200&lt;&gt;""),Rules!$A$2:$A$200),""))</f>
        <v/>
      </c>
      <c r="G404" s="3" t="str">
        <f aca="false">IF($B404="","",IF(D404="Uncategorized","⚠ Review",IF(IFERROR(LOOKUP(2^15,SEARCH(Rules!$A$2:$A$200&amp;"",$B404)/(Rules!$A$2:$A$200&lt;&gt;""),Rules!$C$2:$C$200),"")&lt;&gt;E404,"⚠ Check sign","OK")))</f>
        <v/>
      </c>
    </row>
    <row r="405" customFormat="false" ht="15" hidden="false" customHeight="false" outlineLevel="0" collapsed="false">
      <c r="A405" s="3"/>
      <c r="B405" s="3"/>
      <c r="C405" s="3"/>
      <c r="D405" s="3" t="str">
        <f aca="false">IF($B405="","",IFERROR(LOOKUP(2^15,SEARCH(Rules!$A$2:$A$200&amp;"",$B405)/(Rules!$A$2:$A$200&lt;&gt;""),Rules!$B$2:$B$200),"Uncategorized"))</f>
        <v/>
      </c>
      <c r="E405" s="3" t="str">
        <f aca="false">IF($B405="","",IF($C405&gt;=0,"Income","Expense"))</f>
        <v/>
      </c>
      <c r="F405" s="3" t="str">
        <f aca="false">IF($B405="","",IFERROR(LOOKUP(2^15,SEARCH(Rules!$A$2:$A$200&amp;"",$B405)/(Rules!$A$2:$A$200&lt;&gt;""),Rules!$A$2:$A$200),""))</f>
        <v/>
      </c>
      <c r="G405" s="3" t="str">
        <f aca="false">IF($B405="","",IF(D405="Uncategorized","⚠ Review",IF(IFERROR(LOOKUP(2^15,SEARCH(Rules!$A$2:$A$200&amp;"",$B405)/(Rules!$A$2:$A$200&lt;&gt;""),Rules!$C$2:$C$200),"")&lt;&gt;E405,"⚠ Check sign","OK")))</f>
        <v/>
      </c>
    </row>
    <row r="406" customFormat="false" ht="15" hidden="false" customHeight="false" outlineLevel="0" collapsed="false">
      <c r="A406" s="3"/>
      <c r="B406" s="3"/>
      <c r="C406" s="3"/>
      <c r="D406" s="3" t="str">
        <f aca="false">IF($B406="","",IFERROR(LOOKUP(2^15,SEARCH(Rules!$A$2:$A$200&amp;"",$B406)/(Rules!$A$2:$A$200&lt;&gt;""),Rules!$B$2:$B$200),"Uncategorized"))</f>
        <v/>
      </c>
      <c r="E406" s="3" t="str">
        <f aca="false">IF($B406="","",IF($C406&gt;=0,"Income","Expense"))</f>
        <v/>
      </c>
      <c r="F406" s="3" t="str">
        <f aca="false">IF($B406="","",IFERROR(LOOKUP(2^15,SEARCH(Rules!$A$2:$A$200&amp;"",$B406)/(Rules!$A$2:$A$200&lt;&gt;""),Rules!$A$2:$A$200),""))</f>
        <v/>
      </c>
      <c r="G406" s="3" t="str">
        <f aca="false">IF($B406="","",IF(D406="Uncategorized","⚠ Review",IF(IFERROR(LOOKUP(2^15,SEARCH(Rules!$A$2:$A$200&amp;"",$B406)/(Rules!$A$2:$A$200&lt;&gt;""),Rules!$C$2:$C$200),"")&lt;&gt;E406,"⚠ Check sign","OK")))</f>
        <v/>
      </c>
    </row>
    <row r="407" customFormat="false" ht="15" hidden="false" customHeight="false" outlineLevel="0" collapsed="false">
      <c r="A407" s="3"/>
      <c r="B407" s="3"/>
      <c r="C407" s="3"/>
      <c r="D407" s="3" t="str">
        <f aca="false">IF($B407="","",IFERROR(LOOKUP(2^15,SEARCH(Rules!$A$2:$A$200&amp;"",$B407)/(Rules!$A$2:$A$200&lt;&gt;""),Rules!$B$2:$B$200),"Uncategorized"))</f>
        <v/>
      </c>
      <c r="E407" s="3" t="str">
        <f aca="false">IF($B407="","",IF($C407&gt;=0,"Income","Expense"))</f>
        <v/>
      </c>
      <c r="F407" s="3" t="str">
        <f aca="false">IF($B407="","",IFERROR(LOOKUP(2^15,SEARCH(Rules!$A$2:$A$200&amp;"",$B407)/(Rules!$A$2:$A$200&lt;&gt;""),Rules!$A$2:$A$200),""))</f>
        <v/>
      </c>
      <c r="G407" s="3" t="str">
        <f aca="false">IF($B407="","",IF(D407="Uncategorized","⚠ Review",IF(IFERROR(LOOKUP(2^15,SEARCH(Rules!$A$2:$A$200&amp;"",$B407)/(Rules!$A$2:$A$200&lt;&gt;""),Rules!$C$2:$C$200),"")&lt;&gt;E407,"⚠ Check sign","OK")))</f>
        <v/>
      </c>
    </row>
    <row r="408" customFormat="false" ht="15" hidden="false" customHeight="false" outlineLevel="0" collapsed="false">
      <c r="A408" s="3"/>
      <c r="B408" s="3"/>
      <c r="C408" s="3"/>
      <c r="D408" s="3" t="str">
        <f aca="false">IF($B408="","",IFERROR(LOOKUP(2^15,SEARCH(Rules!$A$2:$A$200&amp;"",$B408)/(Rules!$A$2:$A$200&lt;&gt;""),Rules!$B$2:$B$200),"Uncategorized"))</f>
        <v/>
      </c>
      <c r="E408" s="3" t="str">
        <f aca="false">IF($B408="","",IF($C408&gt;=0,"Income","Expense"))</f>
        <v/>
      </c>
      <c r="F408" s="3" t="str">
        <f aca="false">IF($B408="","",IFERROR(LOOKUP(2^15,SEARCH(Rules!$A$2:$A$200&amp;"",$B408)/(Rules!$A$2:$A$200&lt;&gt;""),Rules!$A$2:$A$200),""))</f>
        <v/>
      </c>
      <c r="G408" s="3" t="str">
        <f aca="false">IF($B408="","",IF(D408="Uncategorized","⚠ Review",IF(IFERROR(LOOKUP(2^15,SEARCH(Rules!$A$2:$A$200&amp;"",$B408)/(Rules!$A$2:$A$200&lt;&gt;""),Rules!$C$2:$C$200),"")&lt;&gt;E408,"⚠ Check sign","OK")))</f>
        <v/>
      </c>
    </row>
    <row r="409" customFormat="false" ht="15" hidden="false" customHeight="false" outlineLevel="0" collapsed="false">
      <c r="A409" s="3"/>
      <c r="B409" s="3"/>
      <c r="C409" s="3"/>
      <c r="D409" s="3" t="str">
        <f aca="false">IF($B409="","",IFERROR(LOOKUP(2^15,SEARCH(Rules!$A$2:$A$200&amp;"",$B409)/(Rules!$A$2:$A$200&lt;&gt;""),Rules!$B$2:$B$200),"Uncategorized"))</f>
        <v/>
      </c>
      <c r="E409" s="3" t="str">
        <f aca="false">IF($B409="","",IF($C409&gt;=0,"Income","Expense"))</f>
        <v/>
      </c>
      <c r="F409" s="3" t="str">
        <f aca="false">IF($B409="","",IFERROR(LOOKUP(2^15,SEARCH(Rules!$A$2:$A$200&amp;"",$B409)/(Rules!$A$2:$A$200&lt;&gt;""),Rules!$A$2:$A$200),""))</f>
        <v/>
      </c>
      <c r="G409" s="3" t="str">
        <f aca="false">IF($B409="","",IF(D409="Uncategorized","⚠ Review",IF(IFERROR(LOOKUP(2^15,SEARCH(Rules!$A$2:$A$200&amp;"",$B409)/(Rules!$A$2:$A$200&lt;&gt;""),Rules!$C$2:$C$200),"")&lt;&gt;E409,"⚠ Check sign","OK")))</f>
        <v/>
      </c>
    </row>
    <row r="410" customFormat="false" ht="15" hidden="false" customHeight="false" outlineLevel="0" collapsed="false">
      <c r="A410" s="3"/>
      <c r="B410" s="3"/>
      <c r="C410" s="3"/>
      <c r="D410" s="3" t="str">
        <f aca="false">IF($B410="","",IFERROR(LOOKUP(2^15,SEARCH(Rules!$A$2:$A$200&amp;"",$B410)/(Rules!$A$2:$A$200&lt;&gt;""),Rules!$B$2:$B$200),"Uncategorized"))</f>
        <v/>
      </c>
      <c r="E410" s="3" t="str">
        <f aca="false">IF($B410="","",IF($C410&gt;=0,"Income","Expense"))</f>
        <v/>
      </c>
      <c r="F410" s="3" t="str">
        <f aca="false">IF($B410="","",IFERROR(LOOKUP(2^15,SEARCH(Rules!$A$2:$A$200&amp;"",$B410)/(Rules!$A$2:$A$200&lt;&gt;""),Rules!$A$2:$A$200),""))</f>
        <v/>
      </c>
      <c r="G410" s="3" t="str">
        <f aca="false">IF($B410="","",IF(D410="Uncategorized","⚠ Review",IF(IFERROR(LOOKUP(2^15,SEARCH(Rules!$A$2:$A$200&amp;"",$B410)/(Rules!$A$2:$A$200&lt;&gt;""),Rules!$C$2:$C$200),"")&lt;&gt;E410,"⚠ Check sign","OK")))</f>
        <v/>
      </c>
    </row>
    <row r="411" customFormat="false" ht="15" hidden="false" customHeight="false" outlineLevel="0" collapsed="false">
      <c r="A411" s="3"/>
      <c r="B411" s="3"/>
      <c r="C411" s="3"/>
      <c r="D411" s="3" t="str">
        <f aca="false">IF($B411="","",IFERROR(LOOKUP(2^15,SEARCH(Rules!$A$2:$A$200&amp;"",$B411)/(Rules!$A$2:$A$200&lt;&gt;""),Rules!$B$2:$B$200),"Uncategorized"))</f>
        <v/>
      </c>
      <c r="E411" s="3" t="str">
        <f aca="false">IF($B411="","",IF($C411&gt;=0,"Income","Expense"))</f>
        <v/>
      </c>
      <c r="F411" s="3" t="str">
        <f aca="false">IF($B411="","",IFERROR(LOOKUP(2^15,SEARCH(Rules!$A$2:$A$200&amp;"",$B411)/(Rules!$A$2:$A$200&lt;&gt;""),Rules!$A$2:$A$200),""))</f>
        <v/>
      </c>
      <c r="G411" s="3" t="str">
        <f aca="false">IF($B411="","",IF(D411="Uncategorized","⚠ Review",IF(IFERROR(LOOKUP(2^15,SEARCH(Rules!$A$2:$A$200&amp;"",$B411)/(Rules!$A$2:$A$200&lt;&gt;""),Rules!$C$2:$C$200),"")&lt;&gt;E411,"⚠ Check sign","OK")))</f>
        <v/>
      </c>
    </row>
    <row r="412" customFormat="false" ht="15" hidden="false" customHeight="false" outlineLevel="0" collapsed="false">
      <c r="A412" s="3"/>
      <c r="B412" s="3"/>
      <c r="C412" s="3"/>
      <c r="D412" s="3" t="str">
        <f aca="false">IF($B412="","",IFERROR(LOOKUP(2^15,SEARCH(Rules!$A$2:$A$200&amp;"",$B412)/(Rules!$A$2:$A$200&lt;&gt;""),Rules!$B$2:$B$200),"Uncategorized"))</f>
        <v/>
      </c>
      <c r="E412" s="3" t="str">
        <f aca="false">IF($B412="","",IF($C412&gt;=0,"Income","Expense"))</f>
        <v/>
      </c>
      <c r="F412" s="3" t="str">
        <f aca="false">IF($B412="","",IFERROR(LOOKUP(2^15,SEARCH(Rules!$A$2:$A$200&amp;"",$B412)/(Rules!$A$2:$A$200&lt;&gt;""),Rules!$A$2:$A$200),""))</f>
        <v/>
      </c>
      <c r="G412" s="3" t="str">
        <f aca="false">IF($B412="","",IF(D412="Uncategorized","⚠ Review",IF(IFERROR(LOOKUP(2^15,SEARCH(Rules!$A$2:$A$200&amp;"",$B412)/(Rules!$A$2:$A$200&lt;&gt;""),Rules!$C$2:$C$200),"")&lt;&gt;E412,"⚠ Check sign","OK")))</f>
        <v/>
      </c>
    </row>
    <row r="413" customFormat="false" ht="15" hidden="false" customHeight="false" outlineLevel="0" collapsed="false">
      <c r="A413" s="3"/>
      <c r="B413" s="3"/>
      <c r="C413" s="3"/>
      <c r="D413" s="3" t="str">
        <f aca="false">IF($B413="","",IFERROR(LOOKUP(2^15,SEARCH(Rules!$A$2:$A$200&amp;"",$B413)/(Rules!$A$2:$A$200&lt;&gt;""),Rules!$B$2:$B$200),"Uncategorized"))</f>
        <v/>
      </c>
      <c r="E413" s="3" t="str">
        <f aca="false">IF($B413="","",IF($C413&gt;=0,"Income","Expense"))</f>
        <v/>
      </c>
      <c r="F413" s="3" t="str">
        <f aca="false">IF($B413="","",IFERROR(LOOKUP(2^15,SEARCH(Rules!$A$2:$A$200&amp;"",$B413)/(Rules!$A$2:$A$200&lt;&gt;""),Rules!$A$2:$A$200),""))</f>
        <v/>
      </c>
      <c r="G413" s="3" t="str">
        <f aca="false">IF($B413="","",IF(D413="Uncategorized","⚠ Review",IF(IFERROR(LOOKUP(2^15,SEARCH(Rules!$A$2:$A$200&amp;"",$B413)/(Rules!$A$2:$A$200&lt;&gt;""),Rules!$C$2:$C$200),"")&lt;&gt;E413,"⚠ Check sign","OK")))</f>
        <v/>
      </c>
    </row>
    <row r="414" customFormat="false" ht="15" hidden="false" customHeight="false" outlineLevel="0" collapsed="false">
      <c r="A414" s="3"/>
      <c r="B414" s="3"/>
      <c r="C414" s="3"/>
      <c r="D414" s="3" t="str">
        <f aca="false">IF($B414="","",IFERROR(LOOKUP(2^15,SEARCH(Rules!$A$2:$A$200&amp;"",$B414)/(Rules!$A$2:$A$200&lt;&gt;""),Rules!$B$2:$B$200),"Uncategorized"))</f>
        <v/>
      </c>
      <c r="E414" s="3" t="str">
        <f aca="false">IF($B414="","",IF($C414&gt;=0,"Income","Expense"))</f>
        <v/>
      </c>
      <c r="F414" s="3" t="str">
        <f aca="false">IF($B414="","",IFERROR(LOOKUP(2^15,SEARCH(Rules!$A$2:$A$200&amp;"",$B414)/(Rules!$A$2:$A$200&lt;&gt;""),Rules!$A$2:$A$200),""))</f>
        <v/>
      </c>
      <c r="G414" s="3" t="str">
        <f aca="false">IF($B414="","",IF(D414="Uncategorized","⚠ Review",IF(IFERROR(LOOKUP(2^15,SEARCH(Rules!$A$2:$A$200&amp;"",$B414)/(Rules!$A$2:$A$200&lt;&gt;""),Rules!$C$2:$C$200),"")&lt;&gt;E414,"⚠ Check sign","OK")))</f>
        <v/>
      </c>
    </row>
    <row r="415" customFormat="false" ht="15" hidden="false" customHeight="false" outlineLevel="0" collapsed="false">
      <c r="A415" s="3"/>
      <c r="B415" s="3"/>
      <c r="C415" s="3"/>
      <c r="D415" s="3" t="str">
        <f aca="false">IF($B415="","",IFERROR(LOOKUP(2^15,SEARCH(Rules!$A$2:$A$200&amp;"",$B415)/(Rules!$A$2:$A$200&lt;&gt;""),Rules!$B$2:$B$200),"Uncategorized"))</f>
        <v/>
      </c>
      <c r="E415" s="3" t="str">
        <f aca="false">IF($B415="","",IF($C415&gt;=0,"Income","Expense"))</f>
        <v/>
      </c>
      <c r="F415" s="3" t="str">
        <f aca="false">IF($B415="","",IFERROR(LOOKUP(2^15,SEARCH(Rules!$A$2:$A$200&amp;"",$B415)/(Rules!$A$2:$A$200&lt;&gt;""),Rules!$A$2:$A$200),""))</f>
        <v/>
      </c>
      <c r="G415" s="3" t="str">
        <f aca="false">IF($B415="","",IF(D415="Uncategorized","⚠ Review",IF(IFERROR(LOOKUP(2^15,SEARCH(Rules!$A$2:$A$200&amp;"",$B415)/(Rules!$A$2:$A$200&lt;&gt;""),Rules!$C$2:$C$200),"")&lt;&gt;E415,"⚠ Check sign","OK")))</f>
        <v/>
      </c>
    </row>
    <row r="416" customFormat="false" ht="15" hidden="false" customHeight="false" outlineLevel="0" collapsed="false">
      <c r="A416" s="3"/>
      <c r="B416" s="3"/>
      <c r="C416" s="3"/>
      <c r="D416" s="3" t="str">
        <f aca="false">IF($B416="","",IFERROR(LOOKUP(2^15,SEARCH(Rules!$A$2:$A$200&amp;"",$B416)/(Rules!$A$2:$A$200&lt;&gt;""),Rules!$B$2:$B$200),"Uncategorized"))</f>
        <v/>
      </c>
      <c r="E416" s="3" t="str">
        <f aca="false">IF($B416="","",IF($C416&gt;=0,"Income","Expense"))</f>
        <v/>
      </c>
      <c r="F416" s="3" t="str">
        <f aca="false">IF($B416="","",IFERROR(LOOKUP(2^15,SEARCH(Rules!$A$2:$A$200&amp;"",$B416)/(Rules!$A$2:$A$200&lt;&gt;""),Rules!$A$2:$A$200),""))</f>
        <v/>
      </c>
      <c r="G416" s="3" t="str">
        <f aca="false">IF($B416="","",IF(D416="Uncategorized","⚠ Review",IF(IFERROR(LOOKUP(2^15,SEARCH(Rules!$A$2:$A$200&amp;"",$B416)/(Rules!$A$2:$A$200&lt;&gt;""),Rules!$C$2:$C$200),"")&lt;&gt;E416,"⚠ Check sign","OK")))</f>
        <v/>
      </c>
    </row>
    <row r="417" customFormat="false" ht="15" hidden="false" customHeight="false" outlineLevel="0" collapsed="false">
      <c r="A417" s="3"/>
      <c r="B417" s="3"/>
      <c r="C417" s="3"/>
      <c r="D417" s="3" t="str">
        <f aca="false">IF($B417="","",IFERROR(LOOKUP(2^15,SEARCH(Rules!$A$2:$A$200&amp;"",$B417)/(Rules!$A$2:$A$200&lt;&gt;""),Rules!$B$2:$B$200),"Uncategorized"))</f>
        <v/>
      </c>
      <c r="E417" s="3" t="str">
        <f aca="false">IF($B417="","",IF($C417&gt;=0,"Income","Expense"))</f>
        <v/>
      </c>
      <c r="F417" s="3" t="str">
        <f aca="false">IF($B417="","",IFERROR(LOOKUP(2^15,SEARCH(Rules!$A$2:$A$200&amp;"",$B417)/(Rules!$A$2:$A$200&lt;&gt;""),Rules!$A$2:$A$200),""))</f>
        <v/>
      </c>
      <c r="G417" s="3" t="str">
        <f aca="false">IF($B417="","",IF(D417="Uncategorized","⚠ Review",IF(IFERROR(LOOKUP(2^15,SEARCH(Rules!$A$2:$A$200&amp;"",$B417)/(Rules!$A$2:$A$200&lt;&gt;""),Rules!$C$2:$C$200),"")&lt;&gt;E417,"⚠ Check sign","OK")))</f>
        <v/>
      </c>
    </row>
    <row r="418" customFormat="false" ht="15" hidden="false" customHeight="false" outlineLevel="0" collapsed="false">
      <c r="A418" s="3"/>
      <c r="B418" s="3"/>
      <c r="C418" s="3"/>
      <c r="D418" s="3" t="str">
        <f aca="false">IF($B418="","",IFERROR(LOOKUP(2^15,SEARCH(Rules!$A$2:$A$200&amp;"",$B418)/(Rules!$A$2:$A$200&lt;&gt;""),Rules!$B$2:$B$200),"Uncategorized"))</f>
        <v/>
      </c>
      <c r="E418" s="3" t="str">
        <f aca="false">IF($B418="","",IF($C418&gt;=0,"Income","Expense"))</f>
        <v/>
      </c>
      <c r="F418" s="3" t="str">
        <f aca="false">IF($B418="","",IFERROR(LOOKUP(2^15,SEARCH(Rules!$A$2:$A$200&amp;"",$B418)/(Rules!$A$2:$A$200&lt;&gt;""),Rules!$A$2:$A$200),""))</f>
        <v/>
      </c>
      <c r="G418" s="3" t="str">
        <f aca="false">IF($B418="","",IF(D418="Uncategorized","⚠ Review",IF(IFERROR(LOOKUP(2^15,SEARCH(Rules!$A$2:$A$200&amp;"",$B418)/(Rules!$A$2:$A$200&lt;&gt;""),Rules!$C$2:$C$200),"")&lt;&gt;E418,"⚠ Check sign","OK")))</f>
        <v/>
      </c>
    </row>
    <row r="419" customFormat="false" ht="15" hidden="false" customHeight="false" outlineLevel="0" collapsed="false">
      <c r="A419" s="3"/>
      <c r="B419" s="3"/>
      <c r="C419" s="3"/>
      <c r="D419" s="3" t="str">
        <f aca="false">IF($B419="","",IFERROR(LOOKUP(2^15,SEARCH(Rules!$A$2:$A$200&amp;"",$B419)/(Rules!$A$2:$A$200&lt;&gt;""),Rules!$B$2:$B$200),"Uncategorized"))</f>
        <v/>
      </c>
      <c r="E419" s="3" t="str">
        <f aca="false">IF($B419="","",IF($C419&gt;=0,"Income","Expense"))</f>
        <v/>
      </c>
      <c r="F419" s="3" t="str">
        <f aca="false">IF($B419="","",IFERROR(LOOKUP(2^15,SEARCH(Rules!$A$2:$A$200&amp;"",$B419)/(Rules!$A$2:$A$200&lt;&gt;""),Rules!$A$2:$A$200),""))</f>
        <v/>
      </c>
      <c r="G419" s="3" t="str">
        <f aca="false">IF($B419="","",IF(D419="Uncategorized","⚠ Review",IF(IFERROR(LOOKUP(2^15,SEARCH(Rules!$A$2:$A$200&amp;"",$B419)/(Rules!$A$2:$A$200&lt;&gt;""),Rules!$C$2:$C$200),"")&lt;&gt;E419,"⚠ Check sign","OK")))</f>
        <v/>
      </c>
    </row>
    <row r="420" customFormat="false" ht="15" hidden="false" customHeight="false" outlineLevel="0" collapsed="false">
      <c r="A420" s="3"/>
      <c r="B420" s="3"/>
      <c r="C420" s="3"/>
      <c r="D420" s="3" t="str">
        <f aca="false">IF($B420="","",IFERROR(LOOKUP(2^15,SEARCH(Rules!$A$2:$A$200&amp;"",$B420)/(Rules!$A$2:$A$200&lt;&gt;""),Rules!$B$2:$B$200),"Uncategorized"))</f>
        <v/>
      </c>
      <c r="E420" s="3" t="str">
        <f aca="false">IF($B420="","",IF($C420&gt;=0,"Income","Expense"))</f>
        <v/>
      </c>
      <c r="F420" s="3" t="str">
        <f aca="false">IF($B420="","",IFERROR(LOOKUP(2^15,SEARCH(Rules!$A$2:$A$200&amp;"",$B420)/(Rules!$A$2:$A$200&lt;&gt;""),Rules!$A$2:$A$200),""))</f>
        <v/>
      </c>
      <c r="G420" s="3" t="str">
        <f aca="false">IF($B420="","",IF(D420="Uncategorized","⚠ Review",IF(IFERROR(LOOKUP(2^15,SEARCH(Rules!$A$2:$A$200&amp;"",$B420)/(Rules!$A$2:$A$200&lt;&gt;""),Rules!$C$2:$C$200),"")&lt;&gt;E420,"⚠ Check sign","OK")))</f>
        <v/>
      </c>
    </row>
    <row r="421" customFormat="false" ht="15" hidden="false" customHeight="false" outlineLevel="0" collapsed="false">
      <c r="A421" s="3"/>
      <c r="B421" s="3"/>
      <c r="C421" s="3"/>
      <c r="D421" s="3" t="str">
        <f aca="false">IF($B421="","",IFERROR(LOOKUP(2^15,SEARCH(Rules!$A$2:$A$200&amp;"",$B421)/(Rules!$A$2:$A$200&lt;&gt;""),Rules!$B$2:$B$200),"Uncategorized"))</f>
        <v/>
      </c>
      <c r="E421" s="3" t="str">
        <f aca="false">IF($B421="","",IF($C421&gt;=0,"Income","Expense"))</f>
        <v/>
      </c>
      <c r="F421" s="3" t="str">
        <f aca="false">IF($B421="","",IFERROR(LOOKUP(2^15,SEARCH(Rules!$A$2:$A$200&amp;"",$B421)/(Rules!$A$2:$A$200&lt;&gt;""),Rules!$A$2:$A$200),""))</f>
        <v/>
      </c>
      <c r="G421" s="3" t="str">
        <f aca="false">IF($B421="","",IF(D421="Uncategorized","⚠ Review",IF(IFERROR(LOOKUP(2^15,SEARCH(Rules!$A$2:$A$200&amp;"",$B421)/(Rules!$A$2:$A$200&lt;&gt;""),Rules!$C$2:$C$200),"")&lt;&gt;E421,"⚠ Check sign","OK")))</f>
        <v/>
      </c>
    </row>
    <row r="422" customFormat="false" ht="15" hidden="false" customHeight="false" outlineLevel="0" collapsed="false">
      <c r="A422" s="3"/>
      <c r="B422" s="3"/>
      <c r="C422" s="3"/>
      <c r="D422" s="3" t="str">
        <f aca="false">IF($B422="","",IFERROR(LOOKUP(2^15,SEARCH(Rules!$A$2:$A$200&amp;"",$B422)/(Rules!$A$2:$A$200&lt;&gt;""),Rules!$B$2:$B$200),"Uncategorized"))</f>
        <v/>
      </c>
      <c r="E422" s="3" t="str">
        <f aca="false">IF($B422="","",IF($C422&gt;=0,"Income","Expense"))</f>
        <v/>
      </c>
      <c r="F422" s="3" t="str">
        <f aca="false">IF($B422="","",IFERROR(LOOKUP(2^15,SEARCH(Rules!$A$2:$A$200&amp;"",$B422)/(Rules!$A$2:$A$200&lt;&gt;""),Rules!$A$2:$A$200),""))</f>
        <v/>
      </c>
      <c r="G422" s="3" t="str">
        <f aca="false">IF($B422="","",IF(D422="Uncategorized","⚠ Review",IF(IFERROR(LOOKUP(2^15,SEARCH(Rules!$A$2:$A$200&amp;"",$B422)/(Rules!$A$2:$A$200&lt;&gt;""),Rules!$C$2:$C$200),"")&lt;&gt;E422,"⚠ Check sign","OK")))</f>
        <v/>
      </c>
    </row>
    <row r="423" customFormat="false" ht="15" hidden="false" customHeight="false" outlineLevel="0" collapsed="false">
      <c r="A423" s="3"/>
      <c r="B423" s="3"/>
      <c r="C423" s="3"/>
      <c r="D423" s="3" t="str">
        <f aca="false">IF($B423="","",IFERROR(LOOKUP(2^15,SEARCH(Rules!$A$2:$A$200&amp;"",$B423)/(Rules!$A$2:$A$200&lt;&gt;""),Rules!$B$2:$B$200),"Uncategorized"))</f>
        <v/>
      </c>
      <c r="E423" s="3" t="str">
        <f aca="false">IF($B423="","",IF($C423&gt;=0,"Income","Expense"))</f>
        <v/>
      </c>
      <c r="F423" s="3" t="str">
        <f aca="false">IF($B423="","",IFERROR(LOOKUP(2^15,SEARCH(Rules!$A$2:$A$200&amp;"",$B423)/(Rules!$A$2:$A$200&lt;&gt;""),Rules!$A$2:$A$200),""))</f>
        <v/>
      </c>
      <c r="G423" s="3" t="str">
        <f aca="false">IF($B423="","",IF(D423="Uncategorized","⚠ Review",IF(IFERROR(LOOKUP(2^15,SEARCH(Rules!$A$2:$A$200&amp;"",$B423)/(Rules!$A$2:$A$200&lt;&gt;""),Rules!$C$2:$C$200),"")&lt;&gt;E423,"⚠ Check sign","OK")))</f>
        <v/>
      </c>
    </row>
    <row r="424" customFormat="false" ht="15" hidden="false" customHeight="false" outlineLevel="0" collapsed="false">
      <c r="A424" s="3"/>
      <c r="B424" s="3"/>
      <c r="C424" s="3"/>
      <c r="D424" s="3" t="str">
        <f aca="false">IF($B424="","",IFERROR(LOOKUP(2^15,SEARCH(Rules!$A$2:$A$200&amp;"",$B424)/(Rules!$A$2:$A$200&lt;&gt;""),Rules!$B$2:$B$200),"Uncategorized"))</f>
        <v/>
      </c>
      <c r="E424" s="3" t="str">
        <f aca="false">IF($B424="","",IF($C424&gt;=0,"Income","Expense"))</f>
        <v/>
      </c>
      <c r="F424" s="3" t="str">
        <f aca="false">IF($B424="","",IFERROR(LOOKUP(2^15,SEARCH(Rules!$A$2:$A$200&amp;"",$B424)/(Rules!$A$2:$A$200&lt;&gt;""),Rules!$A$2:$A$200),""))</f>
        <v/>
      </c>
      <c r="G424" s="3" t="str">
        <f aca="false">IF($B424="","",IF(D424="Uncategorized","⚠ Review",IF(IFERROR(LOOKUP(2^15,SEARCH(Rules!$A$2:$A$200&amp;"",$B424)/(Rules!$A$2:$A$200&lt;&gt;""),Rules!$C$2:$C$200),"")&lt;&gt;E424,"⚠ Check sign","OK")))</f>
        <v/>
      </c>
    </row>
    <row r="425" customFormat="false" ht="15" hidden="false" customHeight="false" outlineLevel="0" collapsed="false">
      <c r="A425" s="3"/>
      <c r="B425" s="3"/>
      <c r="C425" s="3"/>
      <c r="D425" s="3" t="str">
        <f aca="false">IF($B425="","",IFERROR(LOOKUP(2^15,SEARCH(Rules!$A$2:$A$200&amp;"",$B425)/(Rules!$A$2:$A$200&lt;&gt;""),Rules!$B$2:$B$200),"Uncategorized"))</f>
        <v/>
      </c>
      <c r="E425" s="3" t="str">
        <f aca="false">IF($B425="","",IF($C425&gt;=0,"Income","Expense"))</f>
        <v/>
      </c>
      <c r="F425" s="3" t="str">
        <f aca="false">IF($B425="","",IFERROR(LOOKUP(2^15,SEARCH(Rules!$A$2:$A$200&amp;"",$B425)/(Rules!$A$2:$A$200&lt;&gt;""),Rules!$A$2:$A$200),""))</f>
        <v/>
      </c>
      <c r="G425" s="3" t="str">
        <f aca="false">IF($B425="","",IF(D425="Uncategorized","⚠ Review",IF(IFERROR(LOOKUP(2^15,SEARCH(Rules!$A$2:$A$200&amp;"",$B425)/(Rules!$A$2:$A$200&lt;&gt;""),Rules!$C$2:$C$200),"")&lt;&gt;E425,"⚠ Check sign","OK")))</f>
        <v/>
      </c>
    </row>
    <row r="426" customFormat="false" ht="15" hidden="false" customHeight="false" outlineLevel="0" collapsed="false">
      <c r="A426" s="3"/>
      <c r="B426" s="3"/>
      <c r="C426" s="3"/>
      <c r="D426" s="3" t="str">
        <f aca="false">IF($B426="","",IFERROR(LOOKUP(2^15,SEARCH(Rules!$A$2:$A$200&amp;"",$B426)/(Rules!$A$2:$A$200&lt;&gt;""),Rules!$B$2:$B$200),"Uncategorized"))</f>
        <v/>
      </c>
      <c r="E426" s="3" t="str">
        <f aca="false">IF($B426="","",IF($C426&gt;=0,"Income","Expense"))</f>
        <v/>
      </c>
      <c r="F426" s="3" t="str">
        <f aca="false">IF($B426="","",IFERROR(LOOKUP(2^15,SEARCH(Rules!$A$2:$A$200&amp;"",$B426)/(Rules!$A$2:$A$200&lt;&gt;""),Rules!$A$2:$A$200),""))</f>
        <v/>
      </c>
      <c r="G426" s="3" t="str">
        <f aca="false">IF($B426="","",IF(D426="Uncategorized","⚠ Review",IF(IFERROR(LOOKUP(2^15,SEARCH(Rules!$A$2:$A$200&amp;"",$B426)/(Rules!$A$2:$A$200&lt;&gt;""),Rules!$C$2:$C$200),"")&lt;&gt;E426,"⚠ Check sign","OK")))</f>
        <v/>
      </c>
    </row>
    <row r="427" customFormat="false" ht="15" hidden="false" customHeight="false" outlineLevel="0" collapsed="false">
      <c r="A427" s="3"/>
      <c r="B427" s="3"/>
      <c r="C427" s="3"/>
      <c r="D427" s="3" t="str">
        <f aca="false">IF($B427="","",IFERROR(LOOKUP(2^15,SEARCH(Rules!$A$2:$A$200&amp;"",$B427)/(Rules!$A$2:$A$200&lt;&gt;""),Rules!$B$2:$B$200),"Uncategorized"))</f>
        <v/>
      </c>
      <c r="E427" s="3" t="str">
        <f aca="false">IF($B427="","",IF($C427&gt;=0,"Income","Expense"))</f>
        <v/>
      </c>
      <c r="F427" s="3" t="str">
        <f aca="false">IF($B427="","",IFERROR(LOOKUP(2^15,SEARCH(Rules!$A$2:$A$200&amp;"",$B427)/(Rules!$A$2:$A$200&lt;&gt;""),Rules!$A$2:$A$200),""))</f>
        <v/>
      </c>
      <c r="G427" s="3" t="str">
        <f aca="false">IF($B427="","",IF(D427="Uncategorized","⚠ Review",IF(IFERROR(LOOKUP(2^15,SEARCH(Rules!$A$2:$A$200&amp;"",$B427)/(Rules!$A$2:$A$200&lt;&gt;""),Rules!$C$2:$C$200),"")&lt;&gt;E427,"⚠ Check sign","OK")))</f>
        <v/>
      </c>
    </row>
    <row r="428" customFormat="false" ht="15" hidden="false" customHeight="false" outlineLevel="0" collapsed="false">
      <c r="A428" s="3"/>
      <c r="B428" s="3"/>
      <c r="C428" s="3"/>
      <c r="D428" s="3" t="str">
        <f aca="false">IF($B428="","",IFERROR(LOOKUP(2^15,SEARCH(Rules!$A$2:$A$200&amp;"",$B428)/(Rules!$A$2:$A$200&lt;&gt;""),Rules!$B$2:$B$200),"Uncategorized"))</f>
        <v/>
      </c>
      <c r="E428" s="3" t="str">
        <f aca="false">IF($B428="","",IF($C428&gt;=0,"Income","Expense"))</f>
        <v/>
      </c>
      <c r="F428" s="3" t="str">
        <f aca="false">IF($B428="","",IFERROR(LOOKUP(2^15,SEARCH(Rules!$A$2:$A$200&amp;"",$B428)/(Rules!$A$2:$A$200&lt;&gt;""),Rules!$A$2:$A$200),""))</f>
        <v/>
      </c>
      <c r="G428" s="3" t="str">
        <f aca="false">IF($B428="","",IF(D428="Uncategorized","⚠ Review",IF(IFERROR(LOOKUP(2^15,SEARCH(Rules!$A$2:$A$200&amp;"",$B428)/(Rules!$A$2:$A$200&lt;&gt;""),Rules!$C$2:$C$200),"")&lt;&gt;E428,"⚠ Check sign","OK")))</f>
        <v/>
      </c>
    </row>
    <row r="429" customFormat="false" ht="15" hidden="false" customHeight="false" outlineLevel="0" collapsed="false">
      <c r="A429" s="3"/>
      <c r="B429" s="3"/>
      <c r="C429" s="3"/>
      <c r="D429" s="3" t="str">
        <f aca="false">IF($B429="","",IFERROR(LOOKUP(2^15,SEARCH(Rules!$A$2:$A$200&amp;"",$B429)/(Rules!$A$2:$A$200&lt;&gt;""),Rules!$B$2:$B$200),"Uncategorized"))</f>
        <v/>
      </c>
      <c r="E429" s="3" t="str">
        <f aca="false">IF($B429="","",IF($C429&gt;=0,"Income","Expense"))</f>
        <v/>
      </c>
      <c r="F429" s="3" t="str">
        <f aca="false">IF($B429="","",IFERROR(LOOKUP(2^15,SEARCH(Rules!$A$2:$A$200&amp;"",$B429)/(Rules!$A$2:$A$200&lt;&gt;""),Rules!$A$2:$A$200),""))</f>
        <v/>
      </c>
      <c r="G429" s="3" t="str">
        <f aca="false">IF($B429="","",IF(D429="Uncategorized","⚠ Review",IF(IFERROR(LOOKUP(2^15,SEARCH(Rules!$A$2:$A$200&amp;"",$B429)/(Rules!$A$2:$A$200&lt;&gt;""),Rules!$C$2:$C$200),"")&lt;&gt;E429,"⚠ Check sign","OK")))</f>
        <v/>
      </c>
    </row>
    <row r="430" customFormat="false" ht="15" hidden="false" customHeight="false" outlineLevel="0" collapsed="false">
      <c r="A430" s="3"/>
      <c r="B430" s="3"/>
      <c r="C430" s="3"/>
      <c r="D430" s="3" t="str">
        <f aca="false">IF($B430="","",IFERROR(LOOKUP(2^15,SEARCH(Rules!$A$2:$A$200&amp;"",$B430)/(Rules!$A$2:$A$200&lt;&gt;""),Rules!$B$2:$B$200),"Uncategorized"))</f>
        <v/>
      </c>
      <c r="E430" s="3" t="str">
        <f aca="false">IF($B430="","",IF($C430&gt;=0,"Income","Expense"))</f>
        <v/>
      </c>
      <c r="F430" s="3" t="str">
        <f aca="false">IF($B430="","",IFERROR(LOOKUP(2^15,SEARCH(Rules!$A$2:$A$200&amp;"",$B430)/(Rules!$A$2:$A$200&lt;&gt;""),Rules!$A$2:$A$200),""))</f>
        <v/>
      </c>
      <c r="G430" s="3" t="str">
        <f aca="false">IF($B430="","",IF(D430="Uncategorized","⚠ Review",IF(IFERROR(LOOKUP(2^15,SEARCH(Rules!$A$2:$A$200&amp;"",$B430)/(Rules!$A$2:$A$200&lt;&gt;""),Rules!$C$2:$C$200),"")&lt;&gt;E430,"⚠ Check sign","OK")))</f>
        <v/>
      </c>
    </row>
    <row r="431" customFormat="false" ht="15" hidden="false" customHeight="false" outlineLevel="0" collapsed="false">
      <c r="A431" s="3"/>
      <c r="B431" s="3"/>
      <c r="C431" s="3"/>
      <c r="D431" s="3" t="str">
        <f aca="false">IF($B431="","",IFERROR(LOOKUP(2^15,SEARCH(Rules!$A$2:$A$200&amp;"",$B431)/(Rules!$A$2:$A$200&lt;&gt;""),Rules!$B$2:$B$200),"Uncategorized"))</f>
        <v/>
      </c>
      <c r="E431" s="3" t="str">
        <f aca="false">IF($B431="","",IF($C431&gt;=0,"Income","Expense"))</f>
        <v/>
      </c>
      <c r="F431" s="3" t="str">
        <f aca="false">IF($B431="","",IFERROR(LOOKUP(2^15,SEARCH(Rules!$A$2:$A$200&amp;"",$B431)/(Rules!$A$2:$A$200&lt;&gt;""),Rules!$A$2:$A$200),""))</f>
        <v/>
      </c>
      <c r="G431" s="3" t="str">
        <f aca="false">IF($B431="","",IF(D431="Uncategorized","⚠ Review",IF(IFERROR(LOOKUP(2^15,SEARCH(Rules!$A$2:$A$200&amp;"",$B431)/(Rules!$A$2:$A$200&lt;&gt;""),Rules!$C$2:$C$200),"")&lt;&gt;E431,"⚠ Check sign","OK")))</f>
        <v/>
      </c>
    </row>
    <row r="432" customFormat="false" ht="15" hidden="false" customHeight="false" outlineLevel="0" collapsed="false">
      <c r="A432" s="3"/>
      <c r="B432" s="3"/>
      <c r="C432" s="3"/>
      <c r="D432" s="3" t="str">
        <f aca="false">IF($B432="","",IFERROR(LOOKUP(2^15,SEARCH(Rules!$A$2:$A$200&amp;"",$B432)/(Rules!$A$2:$A$200&lt;&gt;""),Rules!$B$2:$B$200),"Uncategorized"))</f>
        <v/>
      </c>
      <c r="E432" s="3" t="str">
        <f aca="false">IF($B432="","",IF($C432&gt;=0,"Income","Expense"))</f>
        <v/>
      </c>
      <c r="F432" s="3" t="str">
        <f aca="false">IF($B432="","",IFERROR(LOOKUP(2^15,SEARCH(Rules!$A$2:$A$200&amp;"",$B432)/(Rules!$A$2:$A$200&lt;&gt;""),Rules!$A$2:$A$200),""))</f>
        <v/>
      </c>
      <c r="G432" s="3" t="str">
        <f aca="false">IF($B432="","",IF(D432="Uncategorized","⚠ Review",IF(IFERROR(LOOKUP(2^15,SEARCH(Rules!$A$2:$A$200&amp;"",$B432)/(Rules!$A$2:$A$200&lt;&gt;""),Rules!$C$2:$C$200),"")&lt;&gt;E432,"⚠ Check sign","OK")))</f>
        <v/>
      </c>
    </row>
    <row r="433" customFormat="false" ht="15" hidden="false" customHeight="false" outlineLevel="0" collapsed="false">
      <c r="A433" s="3"/>
      <c r="B433" s="3"/>
      <c r="C433" s="3"/>
      <c r="D433" s="3" t="str">
        <f aca="false">IF($B433="","",IFERROR(LOOKUP(2^15,SEARCH(Rules!$A$2:$A$200&amp;"",$B433)/(Rules!$A$2:$A$200&lt;&gt;""),Rules!$B$2:$B$200),"Uncategorized"))</f>
        <v/>
      </c>
      <c r="E433" s="3" t="str">
        <f aca="false">IF($B433="","",IF($C433&gt;=0,"Income","Expense"))</f>
        <v/>
      </c>
      <c r="F433" s="3" t="str">
        <f aca="false">IF($B433="","",IFERROR(LOOKUP(2^15,SEARCH(Rules!$A$2:$A$200&amp;"",$B433)/(Rules!$A$2:$A$200&lt;&gt;""),Rules!$A$2:$A$200),""))</f>
        <v/>
      </c>
      <c r="G433" s="3" t="str">
        <f aca="false">IF($B433="","",IF(D433="Uncategorized","⚠ Review",IF(IFERROR(LOOKUP(2^15,SEARCH(Rules!$A$2:$A$200&amp;"",$B433)/(Rules!$A$2:$A$200&lt;&gt;""),Rules!$C$2:$C$200),"")&lt;&gt;E433,"⚠ Check sign","OK")))</f>
        <v/>
      </c>
    </row>
    <row r="434" customFormat="false" ht="15" hidden="false" customHeight="false" outlineLevel="0" collapsed="false">
      <c r="A434" s="3"/>
      <c r="B434" s="3"/>
      <c r="C434" s="3"/>
      <c r="D434" s="3" t="str">
        <f aca="false">IF($B434="","",IFERROR(LOOKUP(2^15,SEARCH(Rules!$A$2:$A$200&amp;"",$B434)/(Rules!$A$2:$A$200&lt;&gt;""),Rules!$B$2:$B$200),"Uncategorized"))</f>
        <v/>
      </c>
      <c r="E434" s="3" t="str">
        <f aca="false">IF($B434="","",IF($C434&gt;=0,"Income","Expense"))</f>
        <v/>
      </c>
      <c r="F434" s="3" t="str">
        <f aca="false">IF($B434="","",IFERROR(LOOKUP(2^15,SEARCH(Rules!$A$2:$A$200&amp;"",$B434)/(Rules!$A$2:$A$200&lt;&gt;""),Rules!$A$2:$A$200),""))</f>
        <v/>
      </c>
      <c r="G434" s="3" t="str">
        <f aca="false">IF($B434="","",IF(D434="Uncategorized","⚠ Review",IF(IFERROR(LOOKUP(2^15,SEARCH(Rules!$A$2:$A$200&amp;"",$B434)/(Rules!$A$2:$A$200&lt;&gt;""),Rules!$C$2:$C$200),"")&lt;&gt;E434,"⚠ Check sign","OK")))</f>
        <v/>
      </c>
    </row>
    <row r="435" customFormat="false" ht="15" hidden="false" customHeight="false" outlineLevel="0" collapsed="false">
      <c r="A435" s="3"/>
      <c r="B435" s="3"/>
      <c r="C435" s="3"/>
      <c r="D435" s="3" t="str">
        <f aca="false">IF($B435="","",IFERROR(LOOKUP(2^15,SEARCH(Rules!$A$2:$A$200&amp;"",$B435)/(Rules!$A$2:$A$200&lt;&gt;""),Rules!$B$2:$B$200),"Uncategorized"))</f>
        <v/>
      </c>
      <c r="E435" s="3" t="str">
        <f aca="false">IF($B435="","",IF($C435&gt;=0,"Income","Expense"))</f>
        <v/>
      </c>
      <c r="F435" s="3" t="str">
        <f aca="false">IF($B435="","",IFERROR(LOOKUP(2^15,SEARCH(Rules!$A$2:$A$200&amp;"",$B435)/(Rules!$A$2:$A$200&lt;&gt;""),Rules!$A$2:$A$200),""))</f>
        <v/>
      </c>
      <c r="G435" s="3" t="str">
        <f aca="false">IF($B435="","",IF(D435="Uncategorized","⚠ Review",IF(IFERROR(LOOKUP(2^15,SEARCH(Rules!$A$2:$A$200&amp;"",$B435)/(Rules!$A$2:$A$200&lt;&gt;""),Rules!$C$2:$C$200),"")&lt;&gt;E435,"⚠ Check sign","OK")))</f>
        <v/>
      </c>
    </row>
    <row r="436" customFormat="false" ht="15" hidden="false" customHeight="false" outlineLevel="0" collapsed="false">
      <c r="A436" s="3"/>
      <c r="B436" s="3"/>
      <c r="C436" s="3"/>
      <c r="D436" s="3" t="str">
        <f aca="false">IF($B436="","",IFERROR(LOOKUP(2^15,SEARCH(Rules!$A$2:$A$200&amp;"",$B436)/(Rules!$A$2:$A$200&lt;&gt;""),Rules!$B$2:$B$200),"Uncategorized"))</f>
        <v/>
      </c>
      <c r="E436" s="3" t="str">
        <f aca="false">IF($B436="","",IF($C436&gt;=0,"Income","Expense"))</f>
        <v/>
      </c>
      <c r="F436" s="3" t="str">
        <f aca="false">IF($B436="","",IFERROR(LOOKUP(2^15,SEARCH(Rules!$A$2:$A$200&amp;"",$B436)/(Rules!$A$2:$A$200&lt;&gt;""),Rules!$A$2:$A$200),""))</f>
        <v/>
      </c>
      <c r="G436" s="3" t="str">
        <f aca="false">IF($B436="","",IF(D436="Uncategorized","⚠ Review",IF(IFERROR(LOOKUP(2^15,SEARCH(Rules!$A$2:$A$200&amp;"",$B436)/(Rules!$A$2:$A$200&lt;&gt;""),Rules!$C$2:$C$200),"")&lt;&gt;E436,"⚠ Check sign","OK")))</f>
        <v/>
      </c>
    </row>
    <row r="437" customFormat="false" ht="15" hidden="false" customHeight="false" outlineLevel="0" collapsed="false">
      <c r="A437" s="3"/>
      <c r="B437" s="3"/>
      <c r="C437" s="3"/>
      <c r="D437" s="3" t="str">
        <f aca="false">IF($B437="","",IFERROR(LOOKUP(2^15,SEARCH(Rules!$A$2:$A$200&amp;"",$B437)/(Rules!$A$2:$A$200&lt;&gt;""),Rules!$B$2:$B$200),"Uncategorized"))</f>
        <v/>
      </c>
      <c r="E437" s="3" t="str">
        <f aca="false">IF($B437="","",IF($C437&gt;=0,"Income","Expense"))</f>
        <v/>
      </c>
      <c r="F437" s="3" t="str">
        <f aca="false">IF($B437="","",IFERROR(LOOKUP(2^15,SEARCH(Rules!$A$2:$A$200&amp;"",$B437)/(Rules!$A$2:$A$200&lt;&gt;""),Rules!$A$2:$A$200),""))</f>
        <v/>
      </c>
      <c r="G437" s="3" t="str">
        <f aca="false">IF($B437="","",IF(D437="Uncategorized","⚠ Review",IF(IFERROR(LOOKUP(2^15,SEARCH(Rules!$A$2:$A$200&amp;"",$B437)/(Rules!$A$2:$A$200&lt;&gt;""),Rules!$C$2:$C$200),"")&lt;&gt;E437,"⚠ Check sign","OK")))</f>
        <v/>
      </c>
    </row>
    <row r="438" customFormat="false" ht="15" hidden="false" customHeight="false" outlineLevel="0" collapsed="false">
      <c r="A438" s="3"/>
      <c r="B438" s="3"/>
      <c r="C438" s="3"/>
      <c r="D438" s="3" t="str">
        <f aca="false">IF($B438="","",IFERROR(LOOKUP(2^15,SEARCH(Rules!$A$2:$A$200&amp;"",$B438)/(Rules!$A$2:$A$200&lt;&gt;""),Rules!$B$2:$B$200),"Uncategorized"))</f>
        <v/>
      </c>
      <c r="E438" s="3" t="str">
        <f aca="false">IF($B438="","",IF($C438&gt;=0,"Income","Expense"))</f>
        <v/>
      </c>
      <c r="F438" s="3" t="str">
        <f aca="false">IF($B438="","",IFERROR(LOOKUP(2^15,SEARCH(Rules!$A$2:$A$200&amp;"",$B438)/(Rules!$A$2:$A$200&lt;&gt;""),Rules!$A$2:$A$200),""))</f>
        <v/>
      </c>
      <c r="G438" s="3" t="str">
        <f aca="false">IF($B438="","",IF(D438="Uncategorized","⚠ Review",IF(IFERROR(LOOKUP(2^15,SEARCH(Rules!$A$2:$A$200&amp;"",$B438)/(Rules!$A$2:$A$200&lt;&gt;""),Rules!$C$2:$C$200),"")&lt;&gt;E438,"⚠ Check sign","OK")))</f>
        <v/>
      </c>
    </row>
    <row r="439" customFormat="false" ht="15" hidden="false" customHeight="false" outlineLevel="0" collapsed="false">
      <c r="A439" s="3"/>
      <c r="B439" s="3"/>
      <c r="C439" s="3"/>
      <c r="D439" s="3" t="str">
        <f aca="false">IF($B439="","",IFERROR(LOOKUP(2^15,SEARCH(Rules!$A$2:$A$200&amp;"",$B439)/(Rules!$A$2:$A$200&lt;&gt;""),Rules!$B$2:$B$200),"Uncategorized"))</f>
        <v/>
      </c>
      <c r="E439" s="3" t="str">
        <f aca="false">IF($B439="","",IF($C439&gt;=0,"Income","Expense"))</f>
        <v/>
      </c>
      <c r="F439" s="3" t="str">
        <f aca="false">IF($B439="","",IFERROR(LOOKUP(2^15,SEARCH(Rules!$A$2:$A$200&amp;"",$B439)/(Rules!$A$2:$A$200&lt;&gt;""),Rules!$A$2:$A$200),""))</f>
        <v/>
      </c>
      <c r="G439" s="3" t="str">
        <f aca="false">IF($B439="","",IF(D439="Uncategorized","⚠ Review",IF(IFERROR(LOOKUP(2^15,SEARCH(Rules!$A$2:$A$200&amp;"",$B439)/(Rules!$A$2:$A$200&lt;&gt;""),Rules!$C$2:$C$200),"")&lt;&gt;E439,"⚠ Check sign","OK")))</f>
        <v/>
      </c>
    </row>
    <row r="440" customFormat="false" ht="15" hidden="false" customHeight="false" outlineLevel="0" collapsed="false">
      <c r="A440" s="3"/>
      <c r="B440" s="3"/>
      <c r="C440" s="3"/>
      <c r="D440" s="3" t="str">
        <f aca="false">IF($B440="","",IFERROR(LOOKUP(2^15,SEARCH(Rules!$A$2:$A$200&amp;"",$B440)/(Rules!$A$2:$A$200&lt;&gt;""),Rules!$B$2:$B$200),"Uncategorized"))</f>
        <v/>
      </c>
      <c r="E440" s="3" t="str">
        <f aca="false">IF($B440="","",IF($C440&gt;=0,"Income","Expense"))</f>
        <v/>
      </c>
      <c r="F440" s="3" t="str">
        <f aca="false">IF($B440="","",IFERROR(LOOKUP(2^15,SEARCH(Rules!$A$2:$A$200&amp;"",$B440)/(Rules!$A$2:$A$200&lt;&gt;""),Rules!$A$2:$A$200),""))</f>
        <v/>
      </c>
      <c r="G440" s="3" t="str">
        <f aca="false">IF($B440="","",IF(D440="Uncategorized","⚠ Review",IF(IFERROR(LOOKUP(2^15,SEARCH(Rules!$A$2:$A$200&amp;"",$B440)/(Rules!$A$2:$A$200&lt;&gt;""),Rules!$C$2:$C$200),"")&lt;&gt;E440,"⚠ Check sign","OK")))</f>
        <v/>
      </c>
    </row>
    <row r="441" customFormat="false" ht="15" hidden="false" customHeight="false" outlineLevel="0" collapsed="false">
      <c r="A441" s="3"/>
      <c r="B441" s="3"/>
      <c r="C441" s="3"/>
      <c r="D441" s="3" t="str">
        <f aca="false">IF($B441="","",IFERROR(LOOKUP(2^15,SEARCH(Rules!$A$2:$A$200&amp;"",$B441)/(Rules!$A$2:$A$200&lt;&gt;""),Rules!$B$2:$B$200),"Uncategorized"))</f>
        <v/>
      </c>
      <c r="E441" s="3" t="str">
        <f aca="false">IF($B441="","",IF($C441&gt;=0,"Income","Expense"))</f>
        <v/>
      </c>
      <c r="F441" s="3" t="str">
        <f aca="false">IF($B441="","",IFERROR(LOOKUP(2^15,SEARCH(Rules!$A$2:$A$200&amp;"",$B441)/(Rules!$A$2:$A$200&lt;&gt;""),Rules!$A$2:$A$200),""))</f>
        <v/>
      </c>
      <c r="G441" s="3" t="str">
        <f aca="false">IF($B441="","",IF(D441="Uncategorized","⚠ Review",IF(IFERROR(LOOKUP(2^15,SEARCH(Rules!$A$2:$A$200&amp;"",$B441)/(Rules!$A$2:$A$200&lt;&gt;""),Rules!$C$2:$C$200),"")&lt;&gt;E441,"⚠ Check sign","OK")))</f>
        <v/>
      </c>
    </row>
    <row r="442" customFormat="false" ht="15" hidden="false" customHeight="false" outlineLevel="0" collapsed="false">
      <c r="A442" s="3"/>
      <c r="B442" s="3"/>
      <c r="C442" s="3"/>
      <c r="D442" s="3" t="str">
        <f aca="false">IF($B442="","",IFERROR(LOOKUP(2^15,SEARCH(Rules!$A$2:$A$200&amp;"",$B442)/(Rules!$A$2:$A$200&lt;&gt;""),Rules!$B$2:$B$200),"Uncategorized"))</f>
        <v/>
      </c>
      <c r="E442" s="3" t="str">
        <f aca="false">IF($B442="","",IF($C442&gt;=0,"Income","Expense"))</f>
        <v/>
      </c>
      <c r="F442" s="3" t="str">
        <f aca="false">IF($B442="","",IFERROR(LOOKUP(2^15,SEARCH(Rules!$A$2:$A$200&amp;"",$B442)/(Rules!$A$2:$A$200&lt;&gt;""),Rules!$A$2:$A$200),""))</f>
        <v/>
      </c>
      <c r="G442" s="3" t="str">
        <f aca="false">IF($B442="","",IF(D442="Uncategorized","⚠ Review",IF(IFERROR(LOOKUP(2^15,SEARCH(Rules!$A$2:$A$200&amp;"",$B442)/(Rules!$A$2:$A$200&lt;&gt;""),Rules!$C$2:$C$200),"")&lt;&gt;E442,"⚠ Check sign","OK")))</f>
        <v/>
      </c>
    </row>
    <row r="443" customFormat="false" ht="15" hidden="false" customHeight="false" outlineLevel="0" collapsed="false">
      <c r="A443" s="3"/>
      <c r="B443" s="3"/>
      <c r="C443" s="3"/>
      <c r="D443" s="3" t="str">
        <f aca="false">IF($B443="","",IFERROR(LOOKUP(2^15,SEARCH(Rules!$A$2:$A$200&amp;"",$B443)/(Rules!$A$2:$A$200&lt;&gt;""),Rules!$B$2:$B$200),"Uncategorized"))</f>
        <v/>
      </c>
      <c r="E443" s="3" t="str">
        <f aca="false">IF($B443="","",IF($C443&gt;=0,"Income","Expense"))</f>
        <v/>
      </c>
      <c r="F443" s="3" t="str">
        <f aca="false">IF($B443="","",IFERROR(LOOKUP(2^15,SEARCH(Rules!$A$2:$A$200&amp;"",$B443)/(Rules!$A$2:$A$200&lt;&gt;""),Rules!$A$2:$A$200),""))</f>
        <v/>
      </c>
      <c r="G443" s="3" t="str">
        <f aca="false">IF($B443="","",IF(D443="Uncategorized","⚠ Review",IF(IFERROR(LOOKUP(2^15,SEARCH(Rules!$A$2:$A$200&amp;"",$B443)/(Rules!$A$2:$A$200&lt;&gt;""),Rules!$C$2:$C$200),"")&lt;&gt;E443,"⚠ Check sign","OK")))</f>
        <v/>
      </c>
    </row>
    <row r="444" customFormat="false" ht="15" hidden="false" customHeight="false" outlineLevel="0" collapsed="false">
      <c r="A444" s="3"/>
      <c r="B444" s="3"/>
      <c r="C444" s="3"/>
      <c r="D444" s="3" t="str">
        <f aca="false">IF($B444="","",IFERROR(LOOKUP(2^15,SEARCH(Rules!$A$2:$A$200&amp;"",$B444)/(Rules!$A$2:$A$200&lt;&gt;""),Rules!$B$2:$B$200),"Uncategorized"))</f>
        <v/>
      </c>
      <c r="E444" s="3" t="str">
        <f aca="false">IF($B444="","",IF($C444&gt;=0,"Income","Expense"))</f>
        <v/>
      </c>
      <c r="F444" s="3" t="str">
        <f aca="false">IF($B444="","",IFERROR(LOOKUP(2^15,SEARCH(Rules!$A$2:$A$200&amp;"",$B444)/(Rules!$A$2:$A$200&lt;&gt;""),Rules!$A$2:$A$200),""))</f>
        <v/>
      </c>
      <c r="G444" s="3" t="str">
        <f aca="false">IF($B444="","",IF(D444="Uncategorized","⚠ Review",IF(IFERROR(LOOKUP(2^15,SEARCH(Rules!$A$2:$A$200&amp;"",$B444)/(Rules!$A$2:$A$200&lt;&gt;""),Rules!$C$2:$C$200),"")&lt;&gt;E444,"⚠ Check sign","OK")))</f>
        <v/>
      </c>
    </row>
    <row r="445" customFormat="false" ht="15" hidden="false" customHeight="false" outlineLevel="0" collapsed="false">
      <c r="A445" s="3"/>
      <c r="B445" s="3"/>
      <c r="C445" s="3"/>
      <c r="D445" s="3" t="str">
        <f aca="false">IF($B445="","",IFERROR(LOOKUP(2^15,SEARCH(Rules!$A$2:$A$200&amp;"",$B445)/(Rules!$A$2:$A$200&lt;&gt;""),Rules!$B$2:$B$200),"Uncategorized"))</f>
        <v/>
      </c>
      <c r="E445" s="3" t="str">
        <f aca="false">IF($B445="","",IF($C445&gt;=0,"Income","Expense"))</f>
        <v/>
      </c>
      <c r="F445" s="3" t="str">
        <f aca="false">IF($B445="","",IFERROR(LOOKUP(2^15,SEARCH(Rules!$A$2:$A$200&amp;"",$B445)/(Rules!$A$2:$A$200&lt;&gt;""),Rules!$A$2:$A$200),""))</f>
        <v/>
      </c>
      <c r="G445" s="3" t="str">
        <f aca="false">IF($B445="","",IF(D445="Uncategorized","⚠ Review",IF(IFERROR(LOOKUP(2^15,SEARCH(Rules!$A$2:$A$200&amp;"",$B445)/(Rules!$A$2:$A$200&lt;&gt;""),Rules!$C$2:$C$200),"")&lt;&gt;E445,"⚠ Check sign","OK")))</f>
        <v/>
      </c>
    </row>
    <row r="446" customFormat="false" ht="15" hidden="false" customHeight="false" outlineLevel="0" collapsed="false">
      <c r="A446" s="3"/>
      <c r="B446" s="3"/>
      <c r="C446" s="3"/>
      <c r="D446" s="3" t="str">
        <f aca="false">IF($B446="","",IFERROR(LOOKUP(2^15,SEARCH(Rules!$A$2:$A$200&amp;"",$B446)/(Rules!$A$2:$A$200&lt;&gt;""),Rules!$B$2:$B$200),"Uncategorized"))</f>
        <v/>
      </c>
      <c r="E446" s="3" t="str">
        <f aca="false">IF($B446="","",IF($C446&gt;=0,"Income","Expense"))</f>
        <v/>
      </c>
      <c r="F446" s="3" t="str">
        <f aca="false">IF($B446="","",IFERROR(LOOKUP(2^15,SEARCH(Rules!$A$2:$A$200&amp;"",$B446)/(Rules!$A$2:$A$200&lt;&gt;""),Rules!$A$2:$A$200),""))</f>
        <v/>
      </c>
      <c r="G446" s="3" t="str">
        <f aca="false">IF($B446="","",IF(D446="Uncategorized","⚠ Review",IF(IFERROR(LOOKUP(2^15,SEARCH(Rules!$A$2:$A$200&amp;"",$B446)/(Rules!$A$2:$A$200&lt;&gt;""),Rules!$C$2:$C$200),"")&lt;&gt;E446,"⚠ Check sign","OK")))</f>
        <v/>
      </c>
    </row>
    <row r="447" customFormat="false" ht="15" hidden="false" customHeight="false" outlineLevel="0" collapsed="false">
      <c r="A447" s="3"/>
      <c r="B447" s="3"/>
      <c r="C447" s="3"/>
      <c r="D447" s="3" t="str">
        <f aca="false">IF($B447="","",IFERROR(LOOKUP(2^15,SEARCH(Rules!$A$2:$A$200&amp;"",$B447)/(Rules!$A$2:$A$200&lt;&gt;""),Rules!$B$2:$B$200),"Uncategorized"))</f>
        <v/>
      </c>
      <c r="E447" s="3" t="str">
        <f aca="false">IF($B447="","",IF($C447&gt;=0,"Income","Expense"))</f>
        <v/>
      </c>
      <c r="F447" s="3" t="str">
        <f aca="false">IF($B447="","",IFERROR(LOOKUP(2^15,SEARCH(Rules!$A$2:$A$200&amp;"",$B447)/(Rules!$A$2:$A$200&lt;&gt;""),Rules!$A$2:$A$200),""))</f>
        <v/>
      </c>
      <c r="G447" s="3" t="str">
        <f aca="false">IF($B447="","",IF(D447="Uncategorized","⚠ Review",IF(IFERROR(LOOKUP(2^15,SEARCH(Rules!$A$2:$A$200&amp;"",$B447)/(Rules!$A$2:$A$200&lt;&gt;""),Rules!$C$2:$C$200),"")&lt;&gt;E447,"⚠ Check sign","OK")))</f>
        <v/>
      </c>
    </row>
    <row r="448" customFormat="false" ht="15" hidden="false" customHeight="false" outlineLevel="0" collapsed="false">
      <c r="A448" s="3"/>
      <c r="B448" s="3"/>
      <c r="C448" s="3"/>
      <c r="D448" s="3" t="str">
        <f aca="false">IF($B448="","",IFERROR(LOOKUP(2^15,SEARCH(Rules!$A$2:$A$200&amp;"",$B448)/(Rules!$A$2:$A$200&lt;&gt;""),Rules!$B$2:$B$200),"Uncategorized"))</f>
        <v/>
      </c>
      <c r="E448" s="3" t="str">
        <f aca="false">IF($B448="","",IF($C448&gt;=0,"Income","Expense"))</f>
        <v/>
      </c>
      <c r="F448" s="3" t="str">
        <f aca="false">IF($B448="","",IFERROR(LOOKUP(2^15,SEARCH(Rules!$A$2:$A$200&amp;"",$B448)/(Rules!$A$2:$A$200&lt;&gt;""),Rules!$A$2:$A$200),""))</f>
        <v/>
      </c>
      <c r="G448" s="3" t="str">
        <f aca="false">IF($B448="","",IF(D448="Uncategorized","⚠ Review",IF(IFERROR(LOOKUP(2^15,SEARCH(Rules!$A$2:$A$200&amp;"",$B448)/(Rules!$A$2:$A$200&lt;&gt;""),Rules!$C$2:$C$200),"")&lt;&gt;E448,"⚠ Check sign","OK")))</f>
        <v/>
      </c>
    </row>
    <row r="449" customFormat="false" ht="15" hidden="false" customHeight="false" outlineLevel="0" collapsed="false">
      <c r="A449" s="3"/>
      <c r="B449" s="3"/>
      <c r="C449" s="3"/>
      <c r="D449" s="3" t="str">
        <f aca="false">IF($B449="","",IFERROR(LOOKUP(2^15,SEARCH(Rules!$A$2:$A$200&amp;"",$B449)/(Rules!$A$2:$A$200&lt;&gt;""),Rules!$B$2:$B$200),"Uncategorized"))</f>
        <v/>
      </c>
      <c r="E449" s="3" t="str">
        <f aca="false">IF($B449="","",IF($C449&gt;=0,"Income","Expense"))</f>
        <v/>
      </c>
      <c r="F449" s="3" t="str">
        <f aca="false">IF($B449="","",IFERROR(LOOKUP(2^15,SEARCH(Rules!$A$2:$A$200&amp;"",$B449)/(Rules!$A$2:$A$200&lt;&gt;""),Rules!$A$2:$A$200),""))</f>
        <v/>
      </c>
      <c r="G449" s="3" t="str">
        <f aca="false">IF($B449="","",IF(D449="Uncategorized","⚠ Review",IF(IFERROR(LOOKUP(2^15,SEARCH(Rules!$A$2:$A$200&amp;"",$B449)/(Rules!$A$2:$A$200&lt;&gt;""),Rules!$C$2:$C$200),"")&lt;&gt;E449,"⚠ Check sign","OK")))</f>
        <v/>
      </c>
    </row>
    <row r="450" customFormat="false" ht="15" hidden="false" customHeight="false" outlineLevel="0" collapsed="false">
      <c r="A450" s="3"/>
      <c r="B450" s="3"/>
      <c r="C450" s="3"/>
      <c r="D450" s="3" t="str">
        <f aca="false">IF($B450="","",IFERROR(LOOKUP(2^15,SEARCH(Rules!$A$2:$A$200&amp;"",$B450)/(Rules!$A$2:$A$200&lt;&gt;""),Rules!$B$2:$B$200),"Uncategorized"))</f>
        <v/>
      </c>
      <c r="E450" s="3" t="str">
        <f aca="false">IF($B450="","",IF($C450&gt;=0,"Income","Expense"))</f>
        <v/>
      </c>
      <c r="F450" s="3" t="str">
        <f aca="false">IF($B450="","",IFERROR(LOOKUP(2^15,SEARCH(Rules!$A$2:$A$200&amp;"",$B450)/(Rules!$A$2:$A$200&lt;&gt;""),Rules!$A$2:$A$200),""))</f>
        <v/>
      </c>
      <c r="G450" s="3" t="str">
        <f aca="false">IF($B450="","",IF(D450="Uncategorized","⚠ Review",IF(IFERROR(LOOKUP(2^15,SEARCH(Rules!$A$2:$A$200&amp;"",$B450)/(Rules!$A$2:$A$200&lt;&gt;""),Rules!$C$2:$C$200),"")&lt;&gt;E450,"⚠ Check sign","OK")))</f>
        <v/>
      </c>
    </row>
    <row r="451" customFormat="false" ht="15" hidden="false" customHeight="false" outlineLevel="0" collapsed="false">
      <c r="A451" s="3"/>
      <c r="B451" s="3"/>
      <c r="C451" s="3"/>
      <c r="D451" s="3" t="str">
        <f aca="false">IF($B451="","",IFERROR(LOOKUP(2^15,SEARCH(Rules!$A$2:$A$200&amp;"",$B451)/(Rules!$A$2:$A$200&lt;&gt;""),Rules!$B$2:$B$200),"Uncategorized"))</f>
        <v/>
      </c>
      <c r="E451" s="3" t="str">
        <f aca="false">IF($B451="","",IF($C451&gt;=0,"Income","Expense"))</f>
        <v/>
      </c>
      <c r="F451" s="3" t="str">
        <f aca="false">IF($B451="","",IFERROR(LOOKUP(2^15,SEARCH(Rules!$A$2:$A$200&amp;"",$B451)/(Rules!$A$2:$A$200&lt;&gt;""),Rules!$A$2:$A$200),""))</f>
        <v/>
      </c>
      <c r="G451" s="3" t="str">
        <f aca="false">IF($B451="","",IF(D451="Uncategorized","⚠ Review",IF(IFERROR(LOOKUP(2^15,SEARCH(Rules!$A$2:$A$200&amp;"",$B451)/(Rules!$A$2:$A$200&lt;&gt;""),Rules!$C$2:$C$200),"")&lt;&gt;E451,"⚠ Check sign","OK")))</f>
        <v/>
      </c>
    </row>
    <row r="452" customFormat="false" ht="15" hidden="false" customHeight="false" outlineLevel="0" collapsed="false">
      <c r="A452" s="3"/>
      <c r="B452" s="3"/>
      <c r="C452" s="3"/>
      <c r="D452" s="3" t="str">
        <f aca="false">IF($B452="","",IFERROR(LOOKUP(2^15,SEARCH(Rules!$A$2:$A$200&amp;"",$B452)/(Rules!$A$2:$A$200&lt;&gt;""),Rules!$B$2:$B$200),"Uncategorized"))</f>
        <v/>
      </c>
      <c r="E452" s="3" t="str">
        <f aca="false">IF($B452="","",IF($C452&gt;=0,"Income","Expense"))</f>
        <v/>
      </c>
      <c r="F452" s="3" t="str">
        <f aca="false">IF($B452="","",IFERROR(LOOKUP(2^15,SEARCH(Rules!$A$2:$A$200&amp;"",$B452)/(Rules!$A$2:$A$200&lt;&gt;""),Rules!$A$2:$A$200),""))</f>
        <v/>
      </c>
      <c r="G452" s="3" t="str">
        <f aca="false">IF($B452="","",IF(D452="Uncategorized","⚠ Review",IF(IFERROR(LOOKUP(2^15,SEARCH(Rules!$A$2:$A$200&amp;"",$B452)/(Rules!$A$2:$A$200&lt;&gt;""),Rules!$C$2:$C$200),"")&lt;&gt;E452,"⚠ Check sign","OK")))</f>
        <v/>
      </c>
    </row>
    <row r="453" customFormat="false" ht="15" hidden="false" customHeight="false" outlineLevel="0" collapsed="false">
      <c r="A453" s="3"/>
      <c r="B453" s="3"/>
      <c r="C453" s="3"/>
      <c r="D453" s="3" t="str">
        <f aca="false">IF($B453="","",IFERROR(LOOKUP(2^15,SEARCH(Rules!$A$2:$A$200&amp;"",$B453)/(Rules!$A$2:$A$200&lt;&gt;""),Rules!$B$2:$B$200),"Uncategorized"))</f>
        <v/>
      </c>
      <c r="E453" s="3" t="str">
        <f aca="false">IF($B453="","",IF($C453&gt;=0,"Income","Expense"))</f>
        <v/>
      </c>
      <c r="F453" s="3" t="str">
        <f aca="false">IF($B453="","",IFERROR(LOOKUP(2^15,SEARCH(Rules!$A$2:$A$200&amp;"",$B453)/(Rules!$A$2:$A$200&lt;&gt;""),Rules!$A$2:$A$200),""))</f>
        <v/>
      </c>
      <c r="G453" s="3" t="str">
        <f aca="false">IF($B453="","",IF(D453="Uncategorized","⚠ Review",IF(IFERROR(LOOKUP(2^15,SEARCH(Rules!$A$2:$A$200&amp;"",$B453)/(Rules!$A$2:$A$200&lt;&gt;""),Rules!$C$2:$C$200),"")&lt;&gt;E453,"⚠ Check sign","OK")))</f>
        <v/>
      </c>
    </row>
    <row r="454" customFormat="false" ht="15" hidden="false" customHeight="false" outlineLevel="0" collapsed="false">
      <c r="A454" s="3"/>
      <c r="B454" s="3"/>
      <c r="C454" s="3"/>
      <c r="D454" s="3" t="str">
        <f aca="false">IF($B454="","",IFERROR(LOOKUP(2^15,SEARCH(Rules!$A$2:$A$200&amp;"",$B454)/(Rules!$A$2:$A$200&lt;&gt;""),Rules!$B$2:$B$200),"Uncategorized"))</f>
        <v/>
      </c>
      <c r="E454" s="3" t="str">
        <f aca="false">IF($B454="","",IF($C454&gt;=0,"Income","Expense"))</f>
        <v/>
      </c>
      <c r="F454" s="3" t="str">
        <f aca="false">IF($B454="","",IFERROR(LOOKUP(2^15,SEARCH(Rules!$A$2:$A$200&amp;"",$B454)/(Rules!$A$2:$A$200&lt;&gt;""),Rules!$A$2:$A$200),""))</f>
        <v/>
      </c>
      <c r="G454" s="3" t="str">
        <f aca="false">IF($B454="","",IF(D454="Uncategorized","⚠ Review",IF(IFERROR(LOOKUP(2^15,SEARCH(Rules!$A$2:$A$200&amp;"",$B454)/(Rules!$A$2:$A$200&lt;&gt;""),Rules!$C$2:$C$200),"")&lt;&gt;E454,"⚠ Check sign","OK")))</f>
        <v/>
      </c>
    </row>
    <row r="455" customFormat="false" ht="15" hidden="false" customHeight="false" outlineLevel="0" collapsed="false">
      <c r="A455" s="3"/>
      <c r="B455" s="3"/>
      <c r="C455" s="3"/>
      <c r="D455" s="3" t="str">
        <f aca="false">IF($B455="","",IFERROR(LOOKUP(2^15,SEARCH(Rules!$A$2:$A$200&amp;"",$B455)/(Rules!$A$2:$A$200&lt;&gt;""),Rules!$B$2:$B$200),"Uncategorized"))</f>
        <v/>
      </c>
      <c r="E455" s="3" t="str">
        <f aca="false">IF($B455="","",IF($C455&gt;=0,"Income","Expense"))</f>
        <v/>
      </c>
      <c r="F455" s="3" t="str">
        <f aca="false">IF($B455="","",IFERROR(LOOKUP(2^15,SEARCH(Rules!$A$2:$A$200&amp;"",$B455)/(Rules!$A$2:$A$200&lt;&gt;""),Rules!$A$2:$A$200),""))</f>
        <v/>
      </c>
      <c r="G455" s="3" t="str">
        <f aca="false">IF($B455="","",IF(D455="Uncategorized","⚠ Review",IF(IFERROR(LOOKUP(2^15,SEARCH(Rules!$A$2:$A$200&amp;"",$B455)/(Rules!$A$2:$A$200&lt;&gt;""),Rules!$C$2:$C$200),"")&lt;&gt;E455,"⚠ Check sign","OK")))</f>
        <v/>
      </c>
    </row>
    <row r="456" customFormat="false" ht="15" hidden="false" customHeight="false" outlineLevel="0" collapsed="false">
      <c r="A456" s="3"/>
      <c r="B456" s="3"/>
      <c r="C456" s="3"/>
      <c r="D456" s="3" t="str">
        <f aca="false">IF($B456="","",IFERROR(LOOKUP(2^15,SEARCH(Rules!$A$2:$A$200&amp;"",$B456)/(Rules!$A$2:$A$200&lt;&gt;""),Rules!$B$2:$B$200),"Uncategorized"))</f>
        <v/>
      </c>
      <c r="E456" s="3" t="str">
        <f aca="false">IF($B456="","",IF($C456&gt;=0,"Income","Expense"))</f>
        <v/>
      </c>
      <c r="F456" s="3" t="str">
        <f aca="false">IF($B456="","",IFERROR(LOOKUP(2^15,SEARCH(Rules!$A$2:$A$200&amp;"",$B456)/(Rules!$A$2:$A$200&lt;&gt;""),Rules!$A$2:$A$200),""))</f>
        <v/>
      </c>
      <c r="G456" s="3" t="str">
        <f aca="false">IF($B456="","",IF(D456="Uncategorized","⚠ Review",IF(IFERROR(LOOKUP(2^15,SEARCH(Rules!$A$2:$A$200&amp;"",$B456)/(Rules!$A$2:$A$200&lt;&gt;""),Rules!$C$2:$C$200),"")&lt;&gt;E456,"⚠ Check sign","OK")))</f>
        <v/>
      </c>
    </row>
    <row r="457" customFormat="false" ht="15" hidden="false" customHeight="false" outlineLevel="0" collapsed="false">
      <c r="A457" s="3"/>
      <c r="B457" s="3"/>
      <c r="C457" s="3"/>
      <c r="D457" s="3" t="str">
        <f aca="false">IF($B457="","",IFERROR(LOOKUP(2^15,SEARCH(Rules!$A$2:$A$200&amp;"",$B457)/(Rules!$A$2:$A$200&lt;&gt;""),Rules!$B$2:$B$200),"Uncategorized"))</f>
        <v/>
      </c>
      <c r="E457" s="3" t="str">
        <f aca="false">IF($B457="","",IF($C457&gt;=0,"Income","Expense"))</f>
        <v/>
      </c>
      <c r="F457" s="3" t="str">
        <f aca="false">IF($B457="","",IFERROR(LOOKUP(2^15,SEARCH(Rules!$A$2:$A$200&amp;"",$B457)/(Rules!$A$2:$A$200&lt;&gt;""),Rules!$A$2:$A$200),""))</f>
        <v/>
      </c>
      <c r="G457" s="3" t="str">
        <f aca="false">IF($B457="","",IF(D457="Uncategorized","⚠ Review",IF(IFERROR(LOOKUP(2^15,SEARCH(Rules!$A$2:$A$200&amp;"",$B457)/(Rules!$A$2:$A$200&lt;&gt;""),Rules!$C$2:$C$200),"")&lt;&gt;E457,"⚠ Check sign","OK")))</f>
        <v/>
      </c>
    </row>
    <row r="458" customFormat="false" ht="15" hidden="false" customHeight="false" outlineLevel="0" collapsed="false">
      <c r="A458" s="3"/>
      <c r="B458" s="3"/>
      <c r="C458" s="3"/>
      <c r="D458" s="3" t="str">
        <f aca="false">IF($B458="","",IFERROR(LOOKUP(2^15,SEARCH(Rules!$A$2:$A$200&amp;"",$B458)/(Rules!$A$2:$A$200&lt;&gt;""),Rules!$B$2:$B$200),"Uncategorized"))</f>
        <v/>
      </c>
      <c r="E458" s="3" t="str">
        <f aca="false">IF($B458="","",IF($C458&gt;=0,"Income","Expense"))</f>
        <v/>
      </c>
      <c r="F458" s="3" t="str">
        <f aca="false">IF($B458="","",IFERROR(LOOKUP(2^15,SEARCH(Rules!$A$2:$A$200&amp;"",$B458)/(Rules!$A$2:$A$200&lt;&gt;""),Rules!$A$2:$A$200),""))</f>
        <v/>
      </c>
      <c r="G458" s="3" t="str">
        <f aca="false">IF($B458="","",IF(D458="Uncategorized","⚠ Review",IF(IFERROR(LOOKUP(2^15,SEARCH(Rules!$A$2:$A$200&amp;"",$B458)/(Rules!$A$2:$A$200&lt;&gt;""),Rules!$C$2:$C$200),"")&lt;&gt;E458,"⚠ Check sign","OK")))</f>
        <v/>
      </c>
    </row>
    <row r="459" customFormat="false" ht="15" hidden="false" customHeight="false" outlineLevel="0" collapsed="false">
      <c r="A459" s="3"/>
      <c r="B459" s="3"/>
      <c r="C459" s="3"/>
      <c r="D459" s="3" t="str">
        <f aca="false">IF($B459="","",IFERROR(LOOKUP(2^15,SEARCH(Rules!$A$2:$A$200&amp;"",$B459)/(Rules!$A$2:$A$200&lt;&gt;""),Rules!$B$2:$B$200),"Uncategorized"))</f>
        <v/>
      </c>
      <c r="E459" s="3" t="str">
        <f aca="false">IF($B459="","",IF($C459&gt;=0,"Income","Expense"))</f>
        <v/>
      </c>
      <c r="F459" s="3" t="str">
        <f aca="false">IF($B459="","",IFERROR(LOOKUP(2^15,SEARCH(Rules!$A$2:$A$200&amp;"",$B459)/(Rules!$A$2:$A$200&lt;&gt;""),Rules!$A$2:$A$200),""))</f>
        <v/>
      </c>
      <c r="G459" s="3" t="str">
        <f aca="false">IF($B459="","",IF(D459="Uncategorized","⚠ Review",IF(IFERROR(LOOKUP(2^15,SEARCH(Rules!$A$2:$A$200&amp;"",$B459)/(Rules!$A$2:$A$200&lt;&gt;""),Rules!$C$2:$C$200),"")&lt;&gt;E459,"⚠ Check sign","OK")))</f>
        <v/>
      </c>
    </row>
    <row r="460" customFormat="false" ht="15" hidden="false" customHeight="false" outlineLevel="0" collapsed="false">
      <c r="A460" s="3"/>
      <c r="B460" s="3"/>
      <c r="C460" s="3"/>
      <c r="D460" s="3" t="str">
        <f aca="false">IF($B460="","",IFERROR(LOOKUP(2^15,SEARCH(Rules!$A$2:$A$200&amp;"",$B460)/(Rules!$A$2:$A$200&lt;&gt;""),Rules!$B$2:$B$200),"Uncategorized"))</f>
        <v/>
      </c>
      <c r="E460" s="3" t="str">
        <f aca="false">IF($B460="","",IF($C460&gt;=0,"Income","Expense"))</f>
        <v/>
      </c>
      <c r="F460" s="3" t="str">
        <f aca="false">IF($B460="","",IFERROR(LOOKUP(2^15,SEARCH(Rules!$A$2:$A$200&amp;"",$B460)/(Rules!$A$2:$A$200&lt;&gt;""),Rules!$A$2:$A$200),""))</f>
        <v/>
      </c>
      <c r="G460" s="3" t="str">
        <f aca="false">IF($B460="","",IF(D460="Uncategorized","⚠ Review",IF(IFERROR(LOOKUP(2^15,SEARCH(Rules!$A$2:$A$200&amp;"",$B460)/(Rules!$A$2:$A$200&lt;&gt;""),Rules!$C$2:$C$200),"")&lt;&gt;E460,"⚠ Check sign","OK")))</f>
        <v/>
      </c>
    </row>
    <row r="461" customFormat="false" ht="15" hidden="false" customHeight="false" outlineLevel="0" collapsed="false">
      <c r="A461" s="3"/>
      <c r="B461" s="3"/>
      <c r="C461" s="3"/>
      <c r="D461" s="3" t="str">
        <f aca="false">IF($B461="","",IFERROR(LOOKUP(2^15,SEARCH(Rules!$A$2:$A$200&amp;"",$B461)/(Rules!$A$2:$A$200&lt;&gt;""),Rules!$B$2:$B$200),"Uncategorized"))</f>
        <v/>
      </c>
      <c r="E461" s="3" t="str">
        <f aca="false">IF($B461="","",IF($C461&gt;=0,"Income","Expense"))</f>
        <v/>
      </c>
      <c r="F461" s="3" t="str">
        <f aca="false">IF($B461="","",IFERROR(LOOKUP(2^15,SEARCH(Rules!$A$2:$A$200&amp;"",$B461)/(Rules!$A$2:$A$200&lt;&gt;""),Rules!$A$2:$A$200),""))</f>
        <v/>
      </c>
      <c r="G461" s="3" t="str">
        <f aca="false">IF($B461="","",IF(D461="Uncategorized","⚠ Review",IF(IFERROR(LOOKUP(2^15,SEARCH(Rules!$A$2:$A$200&amp;"",$B461)/(Rules!$A$2:$A$200&lt;&gt;""),Rules!$C$2:$C$200),"")&lt;&gt;E461,"⚠ Check sign","OK")))</f>
        <v/>
      </c>
    </row>
    <row r="462" customFormat="false" ht="15" hidden="false" customHeight="false" outlineLevel="0" collapsed="false">
      <c r="A462" s="3"/>
      <c r="B462" s="3"/>
      <c r="C462" s="3"/>
      <c r="D462" s="3" t="str">
        <f aca="false">IF($B462="","",IFERROR(LOOKUP(2^15,SEARCH(Rules!$A$2:$A$200&amp;"",$B462)/(Rules!$A$2:$A$200&lt;&gt;""),Rules!$B$2:$B$200),"Uncategorized"))</f>
        <v/>
      </c>
      <c r="E462" s="3" t="str">
        <f aca="false">IF($B462="","",IF($C462&gt;=0,"Income","Expense"))</f>
        <v/>
      </c>
      <c r="F462" s="3" t="str">
        <f aca="false">IF($B462="","",IFERROR(LOOKUP(2^15,SEARCH(Rules!$A$2:$A$200&amp;"",$B462)/(Rules!$A$2:$A$200&lt;&gt;""),Rules!$A$2:$A$200),""))</f>
        <v/>
      </c>
      <c r="G462" s="3" t="str">
        <f aca="false">IF($B462="","",IF(D462="Uncategorized","⚠ Review",IF(IFERROR(LOOKUP(2^15,SEARCH(Rules!$A$2:$A$200&amp;"",$B462)/(Rules!$A$2:$A$200&lt;&gt;""),Rules!$C$2:$C$200),"")&lt;&gt;E462,"⚠ Check sign","OK")))</f>
        <v/>
      </c>
    </row>
    <row r="463" customFormat="false" ht="15" hidden="false" customHeight="false" outlineLevel="0" collapsed="false">
      <c r="A463" s="3"/>
      <c r="B463" s="3"/>
      <c r="C463" s="3"/>
      <c r="D463" s="3" t="str">
        <f aca="false">IF($B463="","",IFERROR(LOOKUP(2^15,SEARCH(Rules!$A$2:$A$200&amp;"",$B463)/(Rules!$A$2:$A$200&lt;&gt;""),Rules!$B$2:$B$200),"Uncategorized"))</f>
        <v/>
      </c>
      <c r="E463" s="3" t="str">
        <f aca="false">IF($B463="","",IF($C463&gt;=0,"Income","Expense"))</f>
        <v/>
      </c>
      <c r="F463" s="3" t="str">
        <f aca="false">IF($B463="","",IFERROR(LOOKUP(2^15,SEARCH(Rules!$A$2:$A$200&amp;"",$B463)/(Rules!$A$2:$A$200&lt;&gt;""),Rules!$A$2:$A$200),""))</f>
        <v/>
      </c>
      <c r="G463" s="3" t="str">
        <f aca="false">IF($B463="","",IF(D463="Uncategorized","⚠ Review",IF(IFERROR(LOOKUP(2^15,SEARCH(Rules!$A$2:$A$200&amp;"",$B463)/(Rules!$A$2:$A$200&lt;&gt;""),Rules!$C$2:$C$200),"")&lt;&gt;E463,"⚠ Check sign","OK")))</f>
        <v/>
      </c>
    </row>
    <row r="464" customFormat="false" ht="15" hidden="false" customHeight="false" outlineLevel="0" collapsed="false">
      <c r="A464" s="3"/>
      <c r="B464" s="3"/>
      <c r="C464" s="3"/>
      <c r="D464" s="3" t="str">
        <f aca="false">IF($B464="","",IFERROR(LOOKUP(2^15,SEARCH(Rules!$A$2:$A$200&amp;"",$B464)/(Rules!$A$2:$A$200&lt;&gt;""),Rules!$B$2:$B$200),"Uncategorized"))</f>
        <v/>
      </c>
      <c r="E464" s="3" t="str">
        <f aca="false">IF($B464="","",IF($C464&gt;=0,"Income","Expense"))</f>
        <v/>
      </c>
      <c r="F464" s="3" t="str">
        <f aca="false">IF($B464="","",IFERROR(LOOKUP(2^15,SEARCH(Rules!$A$2:$A$200&amp;"",$B464)/(Rules!$A$2:$A$200&lt;&gt;""),Rules!$A$2:$A$200),""))</f>
        <v/>
      </c>
      <c r="G464" s="3" t="str">
        <f aca="false">IF($B464="","",IF(D464="Uncategorized","⚠ Review",IF(IFERROR(LOOKUP(2^15,SEARCH(Rules!$A$2:$A$200&amp;"",$B464)/(Rules!$A$2:$A$200&lt;&gt;""),Rules!$C$2:$C$200),"")&lt;&gt;E464,"⚠ Check sign","OK")))</f>
        <v/>
      </c>
    </row>
    <row r="465" customFormat="false" ht="15" hidden="false" customHeight="false" outlineLevel="0" collapsed="false">
      <c r="A465" s="3"/>
      <c r="B465" s="3"/>
      <c r="C465" s="3"/>
      <c r="D465" s="3" t="str">
        <f aca="false">IF($B465="","",IFERROR(LOOKUP(2^15,SEARCH(Rules!$A$2:$A$200&amp;"",$B465)/(Rules!$A$2:$A$200&lt;&gt;""),Rules!$B$2:$B$200),"Uncategorized"))</f>
        <v/>
      </c>
      <c r="E465" s="3" t="str">
        <f aca="false">IF($B465="","",IF($C465&gt;=0,"Income","Expense"))</f>
        <v/>
      </c>
      <c r="F465" s="3" t="str">
        <f aca="false">IF($B465="","",IFERROR(LOOKUP(2^15,SEARCH(Rules!$A$2:$A$200&amp;"",$B465)/(Rules!$A$2:$A$200&lt;&gt;""),Rules!$A$2:$A$200),""))</f>
        <v/>
      </c>
      <c r="G465" s="3" t="str">
        <f aca="false">IF($B465="","",IF(D465="Uncategorized","⚠ Review",IF(IFERROR(LOOKUP(2^15,SEARCH(Rules!$A$2:$A$200&amp;"",$B465)/(Rules!$A$2:$A$200&lt;&gt;""),Rules!$C$2:$C$200),"")&lt;&gt;E465,"⚠ Check sign","OK")))</f>
        <v/>
      </c>
    </row>
    <row r="466" customFormat="false" ht="15" hidden="false" customHeight="false" outlineLevel="0" collapsed="false">
      <c r="A466" s="3"/>
      <c r="B466" s="3"/>
      <c r="C466" s="3"/>
      <c r="D466" s="3" t="str">
        <f aca="false">IF($B466="","",IFERROR(LOOKUP(2^15,SEARCH(Rules!$A$2:$A$200&amp;"",$B466)/(Rules!$A$2:$A$200&lt;&gt;""),Rules!$B$2:$B$200),"Uncategorized"))</f>
        <v/>
      </c>
      <c r="E466" s="3" t="str">
        <f aca="false">IF($B466="","",IF($C466&gt;=0,"Income","Expense"))</f>
        <v/>
      </c>
      <c r="F466" s="3" t="str">
        <f aca="false">IF($B466="","",IFERROR(LOOKUP(2^15,SEARCH(Rules!$A$2:$A$200&amp;"",$B466)/(Rules!$A$2:$A$200&lt;&gt;""),Rules!$A$2:$A$200),""))</f>
        <v/>
      </c>
      <c r="G466" s="3" t="str">
        <f aca="false">IF($B466="","",IF(D466="Uncategorized","⚠ Review",IF(IFERROR(LOOKUP(2^15,SEARCH(Rules!$A$2:$A$200&amp;"",$B466)/(Rules!$A$2:$A$200&lt;&gt;""),Rules!$C$2:$C$200),"")&lt;&gt;E466,"⚠ Check sign","OK")))</f>
        <v/>
      </c>
    </row>
    <row r="467" customFormat="false" ht="15" hidden="false" customHeight="false" outlineLevel="0" collapsed="false">
      <c r="A467" s="3"/>
      <c r="B467" s="3"/>
      <c r="C467" s="3"/>
      <c r="D467" s="3" t="str">
        <f aca="false">IF($B467="","",IFERROR(LOOKUP(2^15,SEARCH(Rules!$A$2:$A$200&amp;"",$B467)/(Rules!$A$2:$A$200&lt;&gt;""),Rules!$B$2:$B$200),"Uncategorized"))</f>
        <v/>
      </c>
      <c r="E467" s="3" t="str">
        <f aca="false">IF($B467="","",IF($C467&gt;=0,"Income","Expense"))</f>
        <v/>
      </c>
      <c r="F467" s="3" t="str">
        <f aca="false">IF($B467="","",IFERROR(LOOKUP(2^15,SEARCH(Rules!$A$2:$A$200&amp;"",$B467)/(Rules!$A$2:$A$200&lt;&gt;""),Rules!$A$2:$A$200),""))</f>
        <v/>
      </c>
      <c r="G467" s="3" t="str">
        <f aca="false">IF($B467="","",IF(D467="Uncategorized","⚠ Review",IF(IFERROR(LOOKUP(2^15,SEARCH(Rules!$A$2:$A$200&amp;"",$B467)/(Rules!$A$2:$A$200&lt;&gt;""),Rules!$C$2:$C$200),"")&lt;&gt;E467,"⚠ Check sign","OK")))</f>
        <v/>
      </c>
    </row>
    <row r="468" customFormat="false" ht="15" hidden="false" customHeight="false" outlineLevel="0" collapsed="false">
      <c r="A468" s="3"/>
      <c r="B468" s="3"/>
      <c r="C468" s="3"/>
      <c r="D468" s="3" t="str">
        <f aca="false">IF($B468="","",IFERROR(LOOKUP(2^15,SEARCH(Rules!$A$2:$A$200&amp;"",$B468)/(Rules!$A$2:$A$200&lt;&gt;""),Rules!$B$2:$B$200),"Uncategorized"))</f>
        <v/>
      </c>
      <c r="E468" s="3" t="str">
        <f aca="false">IF($B468="","",IF($C468&gt;=0,"Income","Expense"))</f>
        <v/>
      </c>
      <c r="F468" s="3" t="str">
        <f aca="false">IF($B468="","",IFERROR(LOOKUP(2^15,SEARCH(Rules!$A$2:$A$200&amp;"",$B468)/(Rules!$A$2:$A$200&lt;&gt;""),Rules!$A$2:$A$200),""))</f>
        <v/>
      </c>
      <c r="G468" s="3" t="str">
        <f aca="false">IF($B468="","",IF(D468="Uncategorized","⚠ Review",IF(IFERROR(LOOKUP(2^15,SEARCH(Rules!$A$2:$A$200&amp;"",$B468)/(Rules!$A$2:$A$200&lt;&gt;""),Rules!$C$2:$C$200),"")&lt;&gt;E468,"⚠ Check sign","OK")))</f>
        <v/>
      </c>
    </row>
    <row r="469" customFormat="false" ht="15" hidden="false" customHeight="false" outlineLevel="0" collapsed="false">
      <c r="A469" s="3"/>
      <c r="B469" s="3"/>
      <c r="C469" s="3"/>
      <c r="D469" s="3" t="str">
        <f aca="false">IF($B469="","",IFERROR(LOOKUP(2^15,SEARCH(Rules!$A$2:$A$200&amp;"",$B469)/(Rules!$A$2:$A$200&lt;&gt;""),Rules!$B$2:$B$200),"Uncategorized"))</f>
        <v/>
      </c>
      <c r="E469" s="3" t="str">
        <f aca="false">IF($B469="","",IF($C469&gt;=0,"Income","Expense"))</f>
        <v/>
      </c>
      <c r="F469" s="3" t="str">
        <f aca="false">IF($B469="","",IFERROR(LOOKUP(2^15,SEARCH(Rules!$A$2:$A$200&amp;"",$B469)/(Rules!$A$2:$A$200&lt;&gt;""),Rules!$A$2:$A$200),""))</f>
        <v/>
      </c>
      <c r="G469" s="3" t="str">
        <f aca="false">IF($B469="","",IF(D469="Uncategorized","⚠ Review",IF(IFERROR(LOOKUP(2^15,SEARCH(Rules!$A$2:$A$200&amp;"",$B469)/(Rules!$A$2:$A$200&lt;&gt;""),Rules!$C$2:$C$200),"")&lt;&gt;E469,"⚠ Check sign","OK")))</f>
        <v/>
      </c>
    </row>
    <row r="470" customFormat="false" ht="15" hidden="false" customHeight="false" outlineLevel="0" collapsed="false">
      <c r="A470" s="3"/>
      <c r="B470" s="3"/>
      <c r="C470" s="3"/>
      <c r="D470" s="3" t="str">
        <f aca="false">IF($B470="","",IFERROR(LOOKUP(2^15,SEARCH(Rules!$A$2:$A$200&amp;"",$B470)/(Rules!$A$2:$A$200&lt;&gt;""),Rules!$B$2:$B$200),"Uncategorized"))</f>
        <v/>
      </c>
      <c r="E470" s="3" t="str">
        <f aca="false">IF($B470="","",IF($C470&gt;=0,"Income","Expense"))</f>
        <v/>
      </c>
      <c r="F470" s="3" t="str">
        <f aca="false">IF($B470="","",IFERROR(LOOKUP(2^15,SEARCH(Rules!$A$2:$A$200&amp;"",$B470)/(Rules!$A$2:$A$200&lt;&gt;""),Rules!$A$2:$A$200),""))</f>
        <v/>
      </c>
      <c r="G470" s="3" t="str">
        <f aca="false">IF($B470="","",IF(D470="Uncategorized","⚠ Review",IF(IFERROR(LOOKUP(2^15,SEARCH(Rules!$A$2:$A$200&amp;"",$B470)/(Rules!$A$2:$A$200&lt;&gt;""),Rules!$C$2:$C$200),"")&lt;&gt;E470,"⚠ Check sign","OK")))</f>
        <v/>
      </c>
    </row>
    <row r="471" customFormat="false" ht="15" hidden="false" customHeight="false" outlineLevel="0" collapsed="false">
      <c r="A471" s="3"/>
      <c r="B471" s="3"/>
      <c r="C471" s="3"/>
      <c r="D471" s="3" t="str">
        <f aca="false">IF($B471="","",IFERROR(LOOKUP(2^15,SEARCH(Rules!$A$2:$A$200&amp;"",$B471)/(Rules!$A$2:$A$200&lt;&gt;""),Rules!$B$2:$B$200),"Uncategorized"))</f>
        <v/>
      </c>
      <c r="E471" s="3" t="str">
        <f aca="false">IF($B471="","",IF($C471&gt;=0,"Income","Expense"))</f>
        <v/>
      </c>
      <c r="F471" s="3" t="str">
        <f aca="false">IF($B471="","",IFERROR(LOOKUP(2^15,SEARCH(Rules!$A$2:$A$200&amp;"",$B471)/(Rules!$A$2:$A$200&lt;&gt;""),Rules!$A$2:$A$200),""))</f>
        <v/>
      </c>
      <c r="G471" s="3" t="str">
        <f aca="false">IF($B471="","",IF(D471="Uncategorized","⚠ Review",IF(IFERROR(LOOKUP(2^15,SEARCH(Rules!$A$2:$A$200&amp;"",$B471)/(Rules!$A$2:$A$200&lt;&gt;""),Rules!$C$2:$C$200),"")&lt;&gt;E471,"⚠ Check sign","OK")))</f>
        <v/>
      </c>
    </row>
    <row r="472" customFormat="false" ht="15" hidden="false" customHeight="false" outlineLevel="0" collapsed="false">
      <c r="A472" s="3"/>
      <c r="B472" s="3"/>
      <c r="C472" s="3"/>
      <c r="D472" s="3" t="str">
        <f aca="false">IF($B472="","",IFERROR(LOOKUP(2^15,SEARCH(Rules!$A$2:$A$200&amp;"",$B472)/(Rules!$A$2:$A$200&lt;&gt;""),Rules!$B$2:$B$200),"Uncategorized"))</f>
        <v/>
      </c>
      <c r="E472" s="3" t="str">
        <f aca="false">IF($B472="","",IF($C472&gt;=0,"Income","Expense"))</f>
        <v/>
      </c>
      <c r="F472" s="3" t="str">
        <f aca="false">IF($B472="","",IFERROR(LOOKUP(2^15,SEARCH(Rules!$A$2:$A$200&amp;"",$B472)/(Rules!$A$2:$A$200&lt;&gt;""),Rules!$A$2:$A$200),""))</f>
        <v/>
      </c>
      <c r="G472" s="3" t="str">
        <f aca="false">IF($B472="","",IF(D472="Uncategorized","⚠ Review",IF(IFERROR(LOOKUP(2^15,SEARCH(Rules!$A$2:$A$200&amp;"",$B472)/(Rules!$A$2:$A$200&lt;&gt;""),Rules!$C$2:$C$200),"")&lt;&gt;E472,"⚠ Check sign","OK")))</f>
        <v/>
      </c>
    </row>
    <row r="473" customFormat="false" ht="15" hidden="false" customHeight="false" outlineLevel="0" collapsed="false">
      <c r="A473" s="3"/>
      <c r="B473" s="3"/>
      <c r="C473" s="3"/>
      <c r="D473" s="3" t="str">
        <f aca="false">IF($B473="","",IFERROR(LOOKUP(2^15,SEARCH(Rules!$A$2:$A$200&amp;"",$B473)/(Rules!$A$2:$A$200&lt;&gt;""),Rules!$B$2:$B$200),"Uncategorized"))</f>
        <v/>
      </c>
      <c r="E473" s="3" t="str">
        <f aca="false">IF($B473="","",IF($C473&gt;=0,"Income","Expense"))</f>
        <v/>
      </c>
      <c r="F473" s="3" t="str">
        <f aca="false">IF($B473="","",IFERROR(LOOKUP(2^15,SEARCH(Rules!$A$2:$A$200&amp;"",$B473)/(Rules!$A$2:$A$200&lt;&gt;""),Rules!$A$2:$A$200),""))</f>
        <v/>
      </c>
      <c r="G473" s="3" t="str">
        <f aca="false">IF($B473="","",IF(D473="Uncategorized","⚠ Review",IF(IFERROR(LOOKUP(2^15,SEARCH(Rules!$A$2:$A$200&amp;"",$B473)/(Rules!$A$2:$A$200&lt;&gt;""),Rules!$C$2:$C$200),"")&lt;&gt;E473,"⚠ Check sign","OK")))</f>
        <v/>
      </c>
    </row>
    <row r="474" customFormat="false" ht="15" hidden="false" customHeight="false" outlineLevel="0" collapsed="false">
      <c r="A474" s="3"/>
      <c r="B474" s="3"/>
      <c r="C474" s="3"/>
      <c r="D474" s="3" t="str">
        <f aca="false">IF($B474="","",IFERROR(LOOKUP(2^15,SEARCH(Rules!$A$2:$A$200&amp;"",$B474)/(Rules!$A$2:$A$200&lt;&gt;""),Rules!$B$2:$B$200),"Uncategorized"))</f>
        <v/>
      </c>
      <c r="E474" s="3" t="str">
        <f aca="false">IF($B474="","",IF($C474&gt;=0,"Income","Expense"))</f>
        <v/>
      </c>
      <c r="F474" s="3" t="str">
        <f aca="false">IF($B474="","",IFERROR(LOOKUP(2^15,SEARCH(Rules!$A$2:$A$200&amp;"",$B474)/(Rules!$A$2:$A$200&lt;&gt;""),Rules!$A$2:$A$200),""))</f>
        <v/>
      </c>
      <c r="G474" s="3" t="str">
        <f aca="false">IF($B474="","",IF(D474="Uncategorized","⚠ Review",IF(IFERROR(LOOKUP(2^15,SEARCH(Rules!$A$2:$A$200&amp;"",$B474)/(Rules!$A$2:$A$200&lt;&gt;""),Rules!$C$2:$C$200),"")&lt;&gt;E474,"⚠ Check sign","OK")))</f>
        <v/>
      </c>
    </row>
    <row r="475" customFormat="false" ht="15" hidden="false" customHeight="false" outlineLevel="0" collapsed="false">
      <c r="A475" s="3"/>
      <c r="B475" s="3"/>
      <c r="C475" s="3"/>
      <c r="D475" s="3" t="str">
        <f aca="false">IF($B475="","",IFERROR(LOOKUP(2^15,SEARCH(Rules!$A$2:$A$200&amp;"",$B475)/(Rules!$A$2:$A$200&lt;&gt;""),Rules!$B$2:$B$200),"Uncategorized"))</f>
        <v/>
      </c>
      <c r="E475" s="3" t="str">
        <f aca="false">IF($B475="","",IF($C475&gt;=0,"Income","Expense"))</f>
        <v/>
      </c>
      <c r="F475" s="3" t="str">
        <f aca="false">IF($B475="","",IFERROR(LOOKUP(2^15,SEARCH(Rules!$A$2:$A$200&amp;"",$B475)/(Rules!$A$2:$A$200&lt;&gt;""),Rules!$A$2:$A$200),""))</f>
        <v/>
      </c>
      <c r="G475" s="3" t="str">
        <f aca="false">IF($B475="","",IF(D475="Uncategorized","⚠ Review",IF(IFERROR(LOOKUP(2^15,SEARCH(Rules!$A$2:$A$200&amp;"",$B475)/(Rules!$A$2:$A$200&lt;&gt;""),Rules!$C$2:$C$200),"")&lt;&gt;E475,"⚠ Check sign","OK")))</f>
        <v/>
      </c>
    </row>
    <row r="476" customFormat="false" ht="15" hidden="false" customHeight="false" outlineLevel="0" collapsed="false">
      <c r="A476" s="3"/>
      <c r="B476" s="3"/>
      <c r="C476" s="3"/>
      <c r="D476" s="3" t="str">
        <f aca="false">IF($B476="","",IFERROR(LOOKUP(2^15,SEARCH(Rules!$A$2:$A$200&amp;"",$B476)/(Rules!$A$2:$A$200&lt;&gt;""),Rules!$B$2:$B$200),"Uncategorized"))</f>
        <v/>
      </c>
      <c r="E476" s="3" t="str">
        <f aca="false">IF($B476="","",IF($C476&gt;=0,"Income","Expense"))</f>
        <v/>
      </c>
      <c r="F476" s="3" t="str">
        <f aca="false">IF($B476="","",IFERROR(LOOKUP(2^15,SEARCH(Rules!$A$2:$A$200&amp;"",$B476)/(Rules!$A$2:$A$200&lt;&gt;""),Rules!$A$2:$A$200),""))</f>
        <v/>
      </c>
      <c r="G476" s="3" t="str">
        <f aca="false">IF($B476="","",IF(D476="Uncategorized","⚠ Review",IF(IFERROR(LOOKUP(2^15,SEARCH(Rules!$A$2:$A$200&amp;"",$B476)/(Rules!$A$2:$A$200&lt;&gt;""),Rules!$C$2:$C$200),"")&lt;&gt;E476,"⚠ Check sign","OK")))</f>
        <v/>
      </c>
    </row>
    <row r="477" customFormat="false" ht="15" hidden="false" customHeight="false" outlineLevel="0" collapsed="false">
      <c r="A477" s="3"/>
      <c r="B477" s="3"/>
      <c r="C477" s="3"/>
      <c r="D477" s="3" t="str">
        <f aca="false">IF($B477="","",IFERROR(LOOKUP(2^15,SEARCH(Rules!$A$2:$A$200&amp;"",$B477)/(Rules!$A$2:$A$200&lt;&gt;""),Rules!$B$2:$B$200),"Uncategorized"))</f>
        <v/>
      </c>
      <c r="E477" s="3" t="str">
        <f aca="false">IF($B477="","",IF($C477&gt;=0,"Income","Expense"))</f>
        <v/>
      </c>
      <c r="F477" s="3" t="str">
        <f aca="false">IF($B477="","",IFERROR(LOOKUP(2^15,SEARCH(Rules!$A$2:$A$200&amp;"",$B477)/(Rules!$A$2:$A$200&lt;&gt;""),Rules!$A$2:$A$200),""))</f>
        <v/>
      </c>
      <c r="G477" s="3" t="str">
        <f aca="false">IF($B477="","",IF(D477="Uncategorized","⚠ Review",IF(IFERROR(LOOKUP(2^15,SEARCH(Rules!$A$2:$A$200&amp;"",$B477)/(Rules!$A$2:$A$200&lt;&gt;""),Rules!$C$2:$C$200),"")&lt;&gt;E477,"⚠ Check sign","OK")))</f>
        <v/>
      </c>
    </row>
    <row r="478" customFormat="false" ht="15" hidden="false" customHeight="false" outlineLevel="0" collapsed="false">
      <c r="A478" s="3"/>
      <c r="B478" s="3"/>
      <c r="C478" s="3"/>
      <c r="D478" s="3" t="str">
        <f aca="false">IF($B478="","",IFERROR(LOOKUP(2^15,SEARCH(Rules!$A$2:$A$200&amp;"",$B478)/(Rules!$A$2:$A$200&lt;&gt;""),Rules!$B$2:$B$200),"Uncategorized"))</f>
        <v/>
      </c>
      <c r="E478" s="3" t="str">
        <f aca="false">IF($B478="","",IF($C478&gt;=0,"Income","Expense"))</f>
        <v/>
      </c>
      <c r="F478" s="3" t="str">
        <f aca="false">IF($B478="","",IFERROR(LOOKUP(2^15,SEARCH(Rules!$A$2:$A$200&amp;"",$B478)/(Rules!$A$2:$A$200&lt;&gt;""),Rules!$A$2:$A$200),""))</f>
        <v/>
      </c>
      <c r="G478" s="3" t="str">
        <f aca="false">IF($B478="","",IF(D478="Uncategorized","⚠ Review",IF(IFERROR(LOOKUP(2^15,SEARCH(Rules!$A$2:$A$200&amp;"",$B478)/(Rules!$A$2:$A$200&lt;&gt;""),Rules!$C$2:$C$200),"")&lt;&gt;E478,"⚠ Check sign","OK")))</f>
        <v/>
      </c>
    </row>
    <row r="479" customFormat="false" ht="15" hidden="false" customHeight="false" outlineLevel="0" collapsed="false">
      <c r="A479" s="3"/>
      <c r="B479" s="3"/>
      <c r="C479" s="3"/>
      <c r="D479" s="3" t="str">
        <f aca="false">IF($B479="","",IFERROR(LOOKUP(2^15,SEARCH(Rules!$A$2:$A$200&amp;"",$B479)/(Rules!$A$2:$A$200&lt;&gt;""),Rules!$B$2:$B$200),"Uncategorized"))</f>
        <v/>
      </c>
      <c r="E479" s="3" t="str">
        <f aca="false">IF($B479="","",IF($C479&gt;=0,"Income","Expense"))</f>
        <v/>
      </c>
      <c r="F479" s="3" t="str">
        <f aca="false">IF($B479="","",IFERROR(LOOKUP(2^15,SEARCH(Rules!$A$2:$A$200&amp;"",$B479)/(Rules!$A$2:$A$200&lt;&gt;""),Rules!$A$2:$A$200),""))</f>
        <v/>
      </c>
      <c r="G479" s="3" t="str">
        <f aca="false">IF($B479="","",IF(D479="Uncategorized","⚠ Review",IF(IFERROR(LOOKUP(2^15,SEARCH(Rules!$A$2:$A$200&amp;"",$B479)/(Rules!$A$2:$A$200&lt;&gt;""),Rules!$C$2:$C$200),"")&lt;&gt;E479,"⚠ Check sign","OK")))</f>
        <v/>
      </c>
    </row>
    <row r="480" customFormat="false" ht="15" hidden="false" customHeight="false" outlineLevel="0" collapsed="false">
      <c r="A480" s="3"/>
      <c r="B480" s="3"/>
      <c r="C480" s="3"/>
      <c r="D480" s="3" t="str">
        <f aca="false">IF($B480="","",IFERROR(LOOKUP(2^15,SEARCH(Rules!$A$2:$A$200&amp;"",$B480)/(Rules!$A$2:$A$200&lt;&gt;""),Rules!$B$2:$B$200),"Uncategorized"))</f>
        <v/>
      </c>
      <c r="E480" s="3" t="str">
        <f aca="false">IF($B480="","",IF($C480&gt;=0,"Income","Expense"))</f>
        <v/>
      </c>
      <c r="F480" s="3" t="str">
        <f aca="false">IF($B480="","",IFERROR(LOOKUP(2^15,SEARCH(Rules!$A$2:$A$200&amp;"",$B480)/(Rules!$A$2:$A$200&lt;&gt;""),Rules!$A$2:$A$200),""))</f>
        <v/>
      </c>
      <c r="G480" s="3" t="str">
        <f aca="false">IF($B480="","",IF(D480="Uncategorized","⚠ Review",IF(IFERROR(LOOKUP(2^15,SEARCH(Rules!$A$2:$A$200&amp;"",$B480)/(Rules!$A$2:$A$200&lt;&gt;""),Rules!$C$2:$C$200),"")&lt;&gt;E480,"⚠ Check sign","OK")))</f>
        <v/>
      </c>
    </row>
    <row r="481" customFormat="false" ht="15" hidden="false" customHeight="false" outlineLevel="0" collapsed="false">
      <c r="A481" s="3"/>
      <c r="B481" s="3"/>
      <c r="C481" s="3"/>
      <c r="D481" s="3" t="str">
        <f aca="false">IF($B481="","",IFERROR(LOOKUP(2^15,SEARCH(Rules!$A$2:$A$200&amp;"",$B481)/(Rules!$A$2:$A$200&lt;&gt;""),Rules!$B$2:$B$200),"Uncategorized"))</f>
        <v/>
      </c>
      <c r="E481" s="3" t="str">
        <f aca="false">IF($B481="","",IF($C481&gt;=0,"Income","Expense"))</f>
        <v/>
      </c>
      <c r="F481" s="3" t="str">
        <f aca="false">IF($B481="","",IFERROR(LOOKUP(2^15,SEARCH(Rules!$A$2:$A$200&amp;"",$B481)/(Rules!$A$2:$A$200&lt;&gt;""),Rules!$A$2:$A$200),""))</f>
        <v/>
      </c>
      <c r="G481" s="3" t="str">
        <f aca="false">IF($B481="","",IF(D481="Uncategorized","⚠ Review",IF(IFERROR(LOOKUP(2^15,SEARCH(Rules!$A$2:$A$200&amp;"",$B481)/(Rules!$A$2:$A$200&lt;&gt;""),Rules!$C$2:$C$200),"")&lt;&gt;E481,"⚠ Check sign","OK")))</f>
        <v/>
      </c>
    </row>
    <row r="482" customFormat="false" ht="15" hidden="false" customHeight="false" outlineLevel="0" collapsed="false">
      <c r="A482" s="3"/>
      <c r="B482" s="3"/>
      <c r="C482" s="3"/>
      <c r="D482" s="3" t="str">
        <f aca="false">IF($B482="","",IFERROR(LOOKUP(2^15,SEARCH(Rules!$A$2:$A$200&amp;"",$B482)/(Rules!$A$2:$A$200&lt;&gt;""),Rules!$B$2:$B$200),"Uncategorized"))</f>
        <v/>
      </c>
      <c r="E482" s="3" t="str">
        <f aca="false">IF($B482="","",IF($C482&gt;=0,"Income","Expense"))</f>
        <v/>
      </c>
      <c r="F482" s="3" t="str">
        <f aca="false">IF($B482="","",IFERROR(LOOKUP(2^15,SEARCH(Rules!$A$2:$A$200&amp;"",$B482)/(Rules!$A$2:$A$200&lt;&gt;""),Rules!$A$2:$A$200),""))</f>
        <v/>
      </c>
      <c r="G482" s="3" t="str">
        <f aca="false">IF($B482="","",IF(D482="Uncategorized","⚠ Review",IF(IFERROR(LOOKUP(2^15,SEARCH(Rules!$A$2:$A$200&amp;"",$B482)/(Rules!$A$2:$A$200&lt;&gt;""),Rules!$C$2:$C$200),"")&lt;&gt;E482,"⚠ Check sign","OK")))</f>
        <v/>
      </c>
    </row>
    <row r="483" customFormat="false" ht="15" hidden="false" customHeight="false" outlineLevel="0" collapsed="false">
      <c r="A483" s="3"/>
      <c r="B483" s="3"/>
      <c r="C483" s="3"/>
      <c r="D483" s="3" t="str">
        <f aca="false">IF($B483="","",IFERROR(LOOKUP(2^15,SEARCH(Rules!$A$2:$A$200&amp;"",$B483)/(Rules!$A$2:$A$200&lt;&gt;""),Rules!$B$2:$B$200),"Uncategorized"))</f>
        <v/>
      </c>
      <c r="E483" s="3" t="str">
        <f aca="false">IF($B483="","",IF($C483&gt;=0,"Income","Expense"))</f>
        <v/>
      </c>
      <c r="F483" s="3" t="str">
        <f aca="false">IF($B483="","",IFERROR(LOOKUP(2^15,SEARCH(Rules!$A$2:$A$200&amp;"",$B483)/(Rules!$A$2:$A$200&lt;&gt;""),Rules!$A$2:$A$200),""))</f>
        <v/>
      </c>
      <c r="G483" s="3" t="str">
        <f aca="false">IF($B483="","",IF(D483="Uncategorized","⚠ Review",IF(IFERROR(LOOKUP(2^15,SEARCH(Rules!$A$2:$A$200&amp;"",$B483)/(Rules!$A$2:$A$200&lt;&gt;""),Rules!$C$2:$C$200),"")&lt;&gt;E483,"⚠ Check sign","OK")))</f>
        <v/>
      </c>
    </row>
    <row r="484" customFormat="false" ht="15" hidden="false" customHeight="false" outlineLevel="0" collapsed="false">
      <c r="A484" s="3"/>
      <c r="B484" s="3"/>
      <c r="C484" s="3"/>
      <c r="D484" s="3" t="str">
        <f aca="false">IF($B484="","",IFERROR(LOOKUP(2^15,SEARCH(Rules!$A$2:$A$200&amp;"",$B484)/(Rules!$A$2:$A$200&lt;&gt;""),Rules!$B$2:$B$200),"Uncategorized"))</f>
        <v/>
      </c>
      <c r="E484" s="3" t="str">
        <f aca="false">IF($B484="","",IF($C484&gt;=0,"Income","Expense"))</f>
        <v/>
      </c>
      <c r="F484" s="3" t="str">
        <f aca="false">IF($B484="","",IFERROR(LOOKUP(2^15,SEARCH(Rules!$A$2:$A$200&amp;"",$B484)/(Rules!$A$2:$A$200&lt;&gt;""),Rules!$A$2:$A$200),""))</f>
        <v/>
      </c>
      <c r="G484" s="3" t="str">
        <f aca="false">IF($B484="","",IF(D484="Uncategorized","⚠ Review",IF(IFERROR(LOOKUP(2^15,SEARCH(Rules!$A$2:$A$200&amp;"",$B484)/(Rules!$A$2:$A$200&lt;&gt;""),Rules!$C$2:$C$200),"")&lt;&gt;E484,"⚠ Check sign","OK")))</f>
        <v/>
      </c>
    </row>
    <row r="485" customFormat="false" ht="15" hidden="false" customHeight="false" outlineLevel="0" collapsed="false">
      <c r="A485" s="3"/>
      <c r="B485" s="3"/>
      <c r="C485" s="3"/>
      <c r="D485" s="3" t="str">
        <f aca="false">IF($B485="","",IFERROR(LOOKUP(2^15,SEARCH(Rules!$A$2:$A$200&amp;"",$B485)/(Rules!$A$2:$A$200&lt;&gt;""),Rules!$B$2:$B$200),"Uncategorized"))</f>
        <v/>
      </c>
      <c r="E485" s="3" t="str">
        <f aca="false">IF($B485="","",IF($C485&gt;=0,"Income","Expense"))</f>
        <v/>
      </c>
      <c r="F485" s="3" t="str">
        <f aca="false">IF($B485="","",IFERROR(LOOKUP(2^15,SEARCH(Rules!$A$2:$A$200&amp;"",$B485)/(Rules!$A$2:$A$200&lt;&gt;""),Rules!$A$2:$A$200),""))</f>
        <v/>
      </c>
      <c r="G485" s="3" t="str">
        <f aca="false">IF($B485="","",IF(D485="Uncategorized","⚠ Review",IF(IFERROR(LOOKUP(2^15,SEARCH(Rules!$A$2:$A$200&amp;"",$B485)/(Rules!$A$2:$A$200&lt;&gt;""),Rules!$C$2:$C$200),"")&lt;&gt;E485,"⚠ Check sign","OK")))</f>
        <v/>
      </c>
    </row>
    <row r="486" customFormat="false" ht="15" hidden="false" customHeight="false" outlineLevel="0" collapsed="false">
      <c r="A486" s="3"/>
      <c r="B486" s="3"/>
      <c r="C486" s="3"/>
      <c r="D486" s="3" t="str">
        <f aca="false">IF($B486="","",IFERROR(LOOKUP(2^15,SEARCH(Rules!$A$2:$A$200&amp;"",$B486)/(Rules!$A$2:$A$200&lt;&gt;""),Rules!$B$2:$B$200),"Uncategorized"))</f>
        <v/>
      </c>
      <c r="E486" s="3" t="str">
        <f aca="false">IF($B486="","",IF($C486&gt;=0,"Income","Expense"))</f>
        <v/>
      </c>
      <c r="F486" s="3" t="str">
        <f aca="false">IF($B486="","",IFERROR(LOOKUP(2^15,SEARCH(Rules!$A$2:$A$200&amp;"",$B486)/(Rules!$A$2:$A$200&lt;&gt;""),Rules!$A$2:$A$200),""))</f>
        <v/>
      </c>
      <c r="G486" s="3" t="str">
        <f aca="false">IF($B486="","",IF(D486="Uncategorized","⚠ Review",IF(IFERROR(LOOKUP(2^15,SEARCH(Rules!$A$2:$A$200&amp;"",$B486)/(Rules!$A$2:$A$200&lt;&gt;""),Rules!$C$2:$C$200),"")&lt;&gt;E486,"⚠ Check sign","OK")))</f>
        <v/>
      </c>
    </row>
    <row r="487" customFormat="false" ht="15" hidden="false" customHeight="false" outlineLevel="0" collapsed="false">
      <c r="A487" s="3"/>
      <c r="B487" s="3"/>
      <c r="C487" s="3"/>
      <c r="D487" s="3" t="str">
        <f aca="false">IF($B487="","",IFERROR(LOOKUP(2^15,SEARCH(Rules!$A$2:$A$200&amp;"",$B487)/(Rules!$A$2:$A$200&lt;&gt;""),Rules!$B$2:$B$200),"Uncategorized"))</f>
        <v/>
      </c>
      <c r="E487" s="3" t="str">
        <f aca="false">IF($B487="","",IF($C487&gt;=0,"Income","Expense"))</f>
        <v/>
      </c>
      <c r="F487" s="3" t="str">
        <f aca="false">IF($B487="","",IFERROR(LOOKUP(2^15,SEARCH(Rules!$A$2:$A$200&amp;"",$B487)/(Rules!$A$2:$A$200&lt;&gt;""),Rules!$A$2:$A$200),""))</f>
        <v/>
      </c>
      <c r="G487" s="3" t="str">
        <f aca="false">IF($B487="","",IF(D487="Uncategorized","⚠ Review",IF(IFERROR(LOOKUP(2^15,SEARCH(Rules!$A$2:$A$200&amp;"",$B487)/(Rules!$A$2:$A$200&lt;&gt;""),Rules!$C$2:$C$200),"")&lt;&gt;E487,"⚠ Check sign","OK")))</f>
        <v/>
      </c>
    </row>
    <row r="488" customFormat="false" ht="15" hidden="false" customHeight="false" outlineLevel="0" collapsed="false">
      <c r="A488" s="3"/>
      <c r="B488" s="3"/>
      <c r="C488" s="3"/>
      <c r="D488" s="3" t="str">
        <f aca="false">IF($B488="","",IFERROR(LOOKUP(2^15,SEARCH(Rules!$A$2:$A$200&amp;"",$B488)/(Rules!$A$2:$A$200&lt;&gt;""),Rules!$B$2:$B$200),"Uncategorized"))</f>
        <v/>
      </c>
      <c r="E488" s="3" t="str">
        <f aca="false">IF($B488="","",IF($C488&gt;=0,"Income","Expense"))</f>
        <v/>
      </c>
      <c r="F488" s="3" t="str">
        <f aca="false">IF($B488="","",IFERROR(LOOKUP(2^15,SEARCH(Rules!$A$2:$A$200&amp;"",$B488)/(Rules!$A$2:$A$200&lt;&gt;""),Rules!$A$2:$A$200),""))</f>
        <v/>
      </c>
      <c r="G488" s="3" t="str">
        <f aca="false">IF($B488="","",IF(D488="Uncategorized","⚠ Review",IF(IFERROR(LOOKUP(2^15,SEARCH(Rules!$A$2:$A$200&amp;"",$B488)/(Rules!$A$2:$A$200&lt;&gt;""),Rules!$C$2:$C$200),"")&lt;&gt;E488,"⚠ Check sign","OK")))</f>
        <v/>
      </c>
    </row>
    <row r="489" customFormat="false" ht="15" hidden="false" customHeight="false" outlineLevel="0" collapsed="false">
      <c r="A489" s="3"/>
      <c r="B489" s="3"/>
      <c r="C489" s="3"/>
      <c r="D489" s="3" t="str">
        <f aca="false">IF($B489="","",IFERROR(LOOKUP(2^15,SEARCH(Rules!$A$2:$A$200&amp;"",$B489)/(Rules!$A$2:$A$200&lt;&gt;""),Rules!$B$2:$B$200),"Uncategorized"))</f>
        <v/>
      </c>
      <c r="E489" s="3" t="str">
        <f aca="false">IF($B489="","",IF($C489&gt;=0,"Income","Expense"))</f>
        <v/>
      </c>
      <c r="F489" s="3" t="str">
        <f aca="false">IF($B489="","",IFERROR(LOOKUP(2^15,SEARCH(Rules!$A$2:$A$200&amp;"",$B489)/(Rules!$A$2:$A$200&lt;&gt;""),Rules!$A$2:$A$200),""))</f>
        <v/>
      </c>
      <c r="G489" s="3" t="str">
        <f aca="false">IF($B489="","",IF(D489="Uncategorized","⚠ Review",IF(IFERROR(LOOKUP(2^15,SEARCH(Rules!$A$2:$A$200&amp;"",$B489)/(Rules!$A$2:$A$200&lt;&gt;""),Rules!$C$2:$C$200),"")&lt;&gt;E489,"⚠ Check sign","OK")))</f>
        <v/>
      </c>
    </row>
    <row r="490" customFormat="false" ht="15" hidden="false" customHeight="false" outlineLevel="0" collapsed="false">
      <c r="A490" s="3"/>
      <c r="B490" s="3"/>
      <c r="C490" s="3"/>
      <c r="D490" s="3" t="str">
        <f aca="false">IF($B490="","",IFERROR(LOOKUP(2^15,SEARCH(Rules!$A$2:$A$200&amp;"",$B490)/(Rules!$A$2:$A$200&lt;&gt;""),Rules!$B$2:$B$200),"Uncategorized"))</f>
        <v/>
      </c>
      <c r="E490" s="3" t="str">
        <f aca="false">IF($B490="","",IF($C490&gt;=0,"Income","Expense"))</f>
        <v/>
      </c>
      <c r="F490" s="3" t="str">
        <f aca="false">IF($B490="","",IFERROR(LOOKUP(2^15,SEARCH(Rules!$A$2:$A$200&amp;"",$B490)/(Rules!$A$2:$A$200&lt;&gt;""),Rules!$A$2:$A$200),""))</f>
        <v/>
      </c>
      <c r="G490" s="3" t="str">
        <f aca="false">IF($B490="","",IF(D490="Uncategorized","⚠ Review",IF(IFERROR(LOOKUP(2^15,SEARCH(Rules!$A$2:$A$200&amp;"",$B490)/(Rules!$A$2:$A$200&lt;&gt;""),Rules!$C$2:$C$200),"")&lt;&gt;E490,"⚠ Check sign","OK")))</f>
        <v/>
      </c>
    </row>
    <row r="491" customFormat="false" ht="15" hidden="false" customHeight="false" outlineLevel="0" collapsed="false">
      <c r="A491" s="3"/>
      <c r="B491" s="3"/>
      <c r="C491" s="3"/>
      <c r="D491" s="3" t="str">
        <f aca="false">IF($B491="","",IFERROR(LOOKUP(2^15,SEARCH(Rules!$A$2:$A$200&amp;"",$B491)/(Rules!$A$2:$A$200&lt;&gt;""),Rules!$B$2:$B$200),"Uncategorized"))</f>
        <v/>
      </c>
      <c r="E491" s="3" t="str">
        <f aca="false">IF($B491="","",IF($C491&gt;=0,"Income","Expense"))</f>
        <v/>
      </c>
      <c r="F491" s="3" t="str">
        <f aca="false">IF($B491="","",IFERROR(LOOKUP(2^15,SEARCH(Rules!$A$2:$A$200&amp;"",$B491)/(Rules!$A$2:$A$200&lt;&gt;""),Rules!$A$2:$A$200),""))</f>
        <v/>
      </c>
      <c r="G491" s="3" t="str">
        <f aca="false">IF($B491="","",IF(D491="Uncategorized","⚠ Review",IF(IFERROR(LOOKUP(2^15,SEARCH(Rules!$A$2:$A$200&amp;"",$B491)/(Rules!$A$2:$A$200&lt;&gt;""),Rules!$C$2:$C$200),"")&lt;&gt;E491,"⚠ Check sign","OK")))</f>
        <v/>
      </c>
    </row>
    <row r="492" customFormat="false" ht="15" hidden="false" customHeight="false" outlineLevel="0" collapsed="false">
      <c r="A492" s="3"/>
      <c r="B492" s="3"/>
      <c r="C492" s="3"/>
      <c r="D492" s="3" t="str">
        <f aca="false">IF($B492="","",IFERROR(LOOKUP(2^15,SEARCH(Rules!$A$2:$A$200&amp;"",$B492)/(Rules!$A$2:$A$200&lt;&gt;""),Rules!$B$2:$B$200),"Uncategorized"))</f>
        <v/>
      </c>
      <c r="E492" s="3" t="str">
        <f aca="false">IF($B492="","",IF($C492&gt;=0,"Income","Expense"))</f>
        <v/>
      </c>
      <c r="F492" s="3" t="str">
        <f aca="false">IF($B492="","",IFERROR(LOOKUP(2^15,SEARCH(Rules!$A$2:$A$200&amp;"",$B492)/(Rules!$A$2:$A$200&lt;&gt;""),Rules!$A$2:$A$200),""))</f>
        <v/>
      </c>
      <c r="G492" s="3" t="str">
        <f aca="false">IF($B492="","",IF(D492="Uncategorized","⚠ Review",IF(IFERROR(LOOKUP(2^15,SEARCH(Rules!$A$2:$A$200&amp;"",$B492)/(Rules!$A$2:$A$200&lt;&gt;""),Rules!$C$2:$C$200),"")&lt;&gt;E492,"⚠ Check sign","OK")))</f>
        <v/>
      </c>
    </row>
    <row r="493" customFormat="false" ht="15" hidden="false" customHeight="false" outlineLevel="0" collapsed="false">
      <c r="A493" s="3"/>
      <c r="B493" s="3"/>
      <c r="C493" s="3"/>
      <c r="D493" s="3" t="str">
        <f aca="false">IF($B493="","",IFERROR(LOOKUP(2^15,SEARCH(Rules!$A$2:$A$200&amp;"",$B493)/(Rules!$A$2:$A$200&lt;&gt;""),Rules!$B$2:$B$200),"Uncategorized"))</f>
        <v/>
      </c>
      <c r="E493" s="3" t="str">
        <f aca="false">IF($B493="","",IF($C493&gt;=0,"Income","Expense"))</f>
        <v/>
      </c>
      <c r="F493" s="3" t="str">
        <f aca="false">IF($B493="","",IFERROR(LOOKUP(2^15,SEARCH(Rules!$A$2:$A$200&amp;"",$B493)/(Rules!$A$2:$A$200&lt;&gt;""),Rules!$A$2:$A$200),""))</f>
        <v/>
      </c>
      <c r="G493" s="3" t="str">
        <f aca="false">IF($B493="","",IF(D493="Uncategorized","⚠ Review",IF(IFERROR(LOOKUP(2^15,SEARCH(Rules!$A$2:$A$200&amp;"",$B493)/(Rules!$A$2:$A$200&lt;&gt;""),Rules!$C$2:$C$200),"")&lt;&gt;E493,"⚠ Check sign","OK")))</f>
        <v/>
      </c>
    </row>
    <row r="494" customFormat="false" ht="15" hidden="false" customHeight="false" outlineLevel="0" collapsed="false">
      <c r="A494" s="3"/>
      <c r="B494" s="3"/>
      <c r="C494" s="3"/>
      <c r="D494" s="3" t="str">
        <f aca="false">IF($B494="","",IFERROR(LOOKUP(2^15,SEARCH(Rules!$A$2:$A$200&amp;"",$B494)/(Rules!$A$2:$A$200&lt;&gt;""),Rules!$B$2:$B$200),"Uncategorized"))</f>
        <v/>
      </c>
      <c r="E494" s="3" t="str">
        <f aca="false">IF($B494="","",IF($C494&gt;=0,"Income","Expense"))</f>
        <v/>
      </c>
      <c r="F494" s="3" t="str">
        <f aca="false">IF($B494="","",IFERROR(LOOKUP(2^15,SEARCH(Rules!$A$2:$A$200&amp;"",$B494)/(Rules!$A$2:$A$200&lt;&gt;""),Rules!$A$2:$A$200),""))</f>
        <v/>
      </c>
      <c r="G494" s="3" t="str">
        <f aca="false">IF($B494="","",IF(D494="Uncategorized","⚠ Review",IF(IFERROR(LOOKUP(2^15,SEARCH(Rules!$A$2:$A$200&amp;"",$B494)/(Rules!$A$2:$A$200&lt;&gt;""),Rules!$C$2:$C$200),"")&lt;&gt;E494,"⚠ Check sign","OK")))</f>
        <v/>
      </c>
    </row>
    <row r="495" customFormat="false" ht="15" hidden="false" customHeight="false" outlineLevel="0" collapsed="false">
      <c r="A495" s="3"/>
      <c r="B495" s="3"/>
      <c r="C495" s="3"/>
      <c r="D495" s="3" t="str">
        <f aca="false">IF($B495="","",IFERROR(LOOKUP(2^15,SEARCH(Rules!$A$2:$A$200&amp;"",$B495)/(Rules!$A$2:$A$200&lt;&gt;""),Rules!$B$2:$B$200),"Uncategorized"))</f>
        <v/>
      </c>
      <c r="E495" s="3" t="str">
        <f aca="false">IF($B495="","",IF($C495&gt;=0,"Income","Expense"))</f>
        <v/>
      </c>
      <c r="F495" s="3" t="str">
        <f aca="false">IF($B495="","",IFERROR(LOOKUP(2^15,SEARCH(Rules!$A$2:$A$200&amp;"",$B495)/(Rules!$A$2:$A$200&lt;&gt;""),Rules!$A$2:$A$200),""))</f>
        <v/>
      </c>
      <c r="G495" s="3" t="str">
        <f aca="false">IF($B495="","",IF(D495="Uncategorized","⚠ Review",IF(IFERROR(LOOKUP(2^15,SEARCH(Rules!$A$2:$A$200&amp;"",$B495)/(Rules!$A$2:$A$200&lt;&gt;""),Rules!$C$2:$C$200),"")&lt;&gt;E495,"⚠ Check sign","OK")))</f>
        <v/>
      </c>
    </row>
    <row r="496" customFormat="false" ht="15" hidden="false" customHeight="false" outlineLevel="0" collapsed="false">
      <c r="A496" s="3"/>
      <c r="B496" s="3"/>
      <c r="C496" s="3"/>
      <c r="D496" s="3" t="str">
        <f aca="false">IF($B496="","",IFERROR(LOOKUP(2^15,SEARCH(Rules!$A$2:$A$200&amp;"",$B496)/(Rules!$A$2:$A$200&lt;&gt;""),Rules!$B$2:$B$200),"Uncategorized"))</f>
        <v/>
      </c>
      <c r="E496" s="3" t="str">
        <f aca="false">IF($B496="","",IF($C496&gt;=0,"Income","Expense"))</f>
        <v/>
      </c>
      <c r="F496" s="3" t="str">
        <f aca="false">IF($B496="","",IFERROR(LOOKUP(2^15,SEARCH(Rules!$A$2:$A$200&amp;"",$B496)/(Rules!$A$2:$A$200&lt;&gt;""),Rules!$A$2:$A$200),""))</f>
        <v/>
      </c>
      <c r="G496" s="3" t="str">
        <f aca="false">IF($B496="","",IF(D496="Uncategorized","⚠ Review",IF(IFERROR(LOOKUP(2^15,SEARCH(Rules!$A$2:$A$200&amp;"",$B496)/(Rules!$A$2:$A$200&lt;&gt;""),Rules!$C$2:$C$200),"")&lt;&gt;E496,"⚠ Check sign","OK")))</f>
        <v/>
      </c>
    </row>
    <row r="497" customFormat="false" ht="15" hidden="false" customHeight="false" outlineLevel="0" collapsed="false">
      <c r="A497" s="3"/>
      <c r="B497" s="3"/>
      <c r="C497" s="3"/>
      <c r="D497" s="3" t="str">
        <f aca="false">IF($B497="","",IFERROR(LOOKUP(2^15,SEARCH(Rules!$A$2:$A$200&amp;"",$B497)/(Rules!$A$2:$A$200&lt;&gt;""),Rules!$B$2:$B$200),"Uncategorized"))</f>
        <v/>
      </c>
      <c r="E497" s="3" t="str">
        <f aca="false">IF($B497="","",IF($C497&gt;=0,"Income","Expense"))</f>
        <v/>
      </c>
      <c r="F497" s="3" t="str">
        <f aca="false">IF($B497="","",IFERROR(LOOKUP(2^15,SEARCH(Rules!$A$2:$A$200&amp;"",$B497)/(Rules!$A$2:$A$200&lt;&gt;""),Rules!$A$2:$A$200),""))</f>
        <v/>
      </c>
      <c r="G497" s="3" t="str">
        <f aca="false">IF($B497="","",IF(D497="Uncategorized","⚠ Review",IF(IFERROR(LOOKUP(2^15,SEARCH(Rules!$A$2:$A$200&amp;"",$B497)/(Rules!$A$2:$A$200&lt;&gt;""),Rules!$C$2:$C$200),"")&lt;&gt;E497,"⚠ Check sign","OK")))</f>
        <v/>
      </c>
    </row>
    <row r="498" customFormat="false" ht="15" hidden="false" customHeight="false" outlineLevel="0" collapsed="false">
      <c r="A498" s="3"/>
      <c r="B498" s="3"/>
      <c r="C498" s="3"/>
      <c r="D498" s="3" t="str">
        <f aca="false">IF($B498="","",IFERROR(LOOKUP(2^15,SEARCH(Rules!$A$2:$A$200&amp;"",$B498)/(Rules!$A$2:$A$200&lt;&gt;""),Rules!$B$2:$B$200),"Uncategorized"))</f>
        <v/>
      </c>
      <c r="E498" s="3" t="str">
        <f aca="false">IF($B498="","",IF($C498&gt;=0,"Income","Expense"))</f>
        <v/>
      </c>
      <c r="F498" s="3" t="str">
        <f aca="false">IF($B498="","",IFERROR(LOOKUP(2^15,SEARCH(Rules!$A$2:$A$200&amp;"",$B498)/(Rules!$A$2:$A$200&lt;&gt;""),Rules!$A$2:$A$200),""))</f>
        <v/>
      </c>
      <c r="G498" s="3" t="str">
        <f aca="false">IF($B498="","",IF(D498="Uncategorized","⚠ Review",IF(IFERROR(LOOKUP(2^15,SEARCH(Rules!$A$2:$A$200&amp;"",$B498)/(Rules!$A$2:$A$200&lt;&gt;""),Rules!$C$2:$C$200),"")&lt;&gt;E498,"⚠ Check sign","OK")))</f>
        <v/>
      </c>
    </row>
    <row r="499" customFormat="false" ht="15" hidden="false" customHeight="false" outlineLevel="0" collapsed="false">
      <c r="A499" s="3"/>
      <c r="B499" s="3"/>
      <c r="C499" s="3"/>
      <c r="D499" s="3" t="str">
        <f aca="false">IF($B499="","",IFERROR(LOOKUP(2^15,SEARCH(Rules!$A$2:$A$200&amp;"",$B499)/(Rules!$A$2:$A$200&lt;&gt;""),Rules!$B$2:$B$200),"Uncategorized"))</f>
        <v/>
      </c>
      <c r="E499" s="3" t="str">
        <f aca="false">IF($B499="","",IF($C499&gt;=0,"Income","Expense"))</f>
        <v/>
      </c>
      <c r="F499" s="3" t="str">
        <f aca="false">IF($B499="","",IFERROR(LOOKUP(2^15,SEARCH(Rules!$A$2:$A$200&amp;"",$B499)/(Rules!$A$2:$A$200&lt;&gt;""),Rules!$A$2:$A$200),""))</f>
        <v/>
      </c>
      <c r="G499" s="3" t="str">
        <f aca="false">IF($B499="","",IF(D499="Uncategorized","⚠ Review",IF(IFERROR(LOOKUP(2^15,SEARCH(Rules!$A$2:$A$200&amp;"",$B499)/(Rules!$A$2:$A$200&lt;&gt;""),Rules!$C$2:$C$200),"")&lt;&gt;E499,"⚠ Check sign","OK")))</f>
        <v/>
      </c>
    </row>
    <row r="500" customFormat="false" ht="15" hidden="false" customHeight="false" outlineLevel="0" collapsed="false">
      <c r="A500" s="3"/>
      <c r="B500" s="3"/>
      <c r="C500" s="3"/>
      <c r="D500" s="3" t="str">
        <f aca="false">IF($B500="","",IFERROR(LOOKUP(2^15,SEARCH(Rules!$A$2:$A$200&amp;"",$B500)/(Rules!$A$2:$A$200&lt;&gt;""),Rules!$B$2:$B$200),"Uncategorized"))</f>
        <v/>
      </c>
      <c r="E500" s="3" t="str">
        <f aca="false">IF($B500="","",IF($C500&gt;=0,"Income","Expense"))</f>
        <v/>
      </c>
      <c r="F500" s="3" t="str">
        <f aca="false">IF($B500="","",IFERROR(LOOKUP(2^15,SEARCH(Rules!$A$2:$A$200&amp;"",$B500)/(Rules!$A$2:$A$200&lt;&gt;""),Rules!$A$2:$A$200),""))</f>
        <v/>
      </c>
      <c r="G500" s="3" t="str">
        <f aca="false">IF($B500="","",IF(D500="Uncategorized","⚠ Review",IF(IFERROR(LOOKUP(2^15,SEARCH(Rules!$A$2:$A$200&amp;"",$B500)/(Rules!$A$2:$A$200&lt;&gt;""),Rules!$C$2:$C$200),"")&lt;&gt;E500,"⚠ Check sign","OK")))</f>
        <v/>
      </c>
    </row>
    <row r="501" customFormat="false" ht="15" hidden="false" customHeight="false" outlineLevel="0" collapsed="false">
      <c r="A501" s="3"/>
      <c r="B501" s="3"/>
      <c r="C501" s="3"/>
      <c r="D501" s="3" t="str">
        <f aca="false">IF($B501="","",IFERROR(LOOKUP(2^15,SEARCH(Rules!$A$2:$A$200&amp;"",$B501)/(Rules!$A$2:$A$200&lt;&gt;""),Rules!$B$2:$B$200),"Uncategorized"))</f>
        <v/>
      </c>
      <c r="E501" s="3" t="str">
        <f aca="false">IF($B501="","",IF($C501&gt;=0,"Income","Expense"))</f>
        <v/>
      </c>
      <c r="F501" s="3" t="str">
        <f aca="false">IF($B501="","",IFERROR(LOOKUP(2^15,SEARCH(Rules!$A$2:$A$200&amp;"",$B501)/(Rules!$A$2:$A$200&lt;&gt;""),Rules!$A$2:$A$200),""))</f>
        <v/>
      </c>
      <c r="G501" s="3" t="str">
        <f aca="false">IF($B501="","",IF(D501="Uncategorized","⚠ Review",IF(IFERROR(LOOKUP(2^15,SEARCH(Rules!$A$2:$A$200&amp;"",$B501)/(Rules!$A$2:$A$200&lt;&gt;""),Rules!$C$2:$C$200),"")&lt;&gt;E501,"⚠ Check sign","OK")))</f>
        <v/>
      </c>
    </row>
    <row r="502" customFormat="false" ht="15" hidden="false" customHeight="false" outlineLevel="0" collapsed="false">
      <c r="A502" s="3"/>
      <c r="B502" s="3"/>
      <c r="C502" s="3"/>
      <c r="D502" s="3" t="str">
        <f aca="false">IF($B502="","",IFERROR(LOOKUP(2^15,SEARCH(Rules!$A$2:$A$200&amp;"",$B502)/(Rules!$A$2:$A$200&lt;&gt;""),Rules!$B$2:$B$200),"Uncategorized"))</f>
        <v/>
      </c>
      <c r="E502" s="3" t="str">
        <f aca="false">IF($B502="","",IF($C502&gt;=0,"Income","Expense"))</f>
        <v/>
      </c>
      <c r="F502" s="3" t="str">
        <f aca="false">IF($B502="","",IFERROR(LOOKUP(2^15,SEARCH(Rules!$A$2:$A$200&amp;"",$B502)/(Rules!$A$2:$A$200&lt;&gt;""),Rules!$A$2:$A$200),""))</f>
        <v/>
      </c>
      <c r="G502" s="3" t="str">
        <f aca="false">IF($B502="","",IF(D502="Uncategorized","⚠ Review",IF(IFERROR(LOOKUP(2^15,SEARCH(Rules!$A$2:$A$200&amp;"",$B502)/(Rules!$A$2:$A$200&lt;&gt;""),Rules!$C$2:$C$200),"")&lt;&gt;E502,"⚠ Check sign","OK")))</f>
        <v/>
      </c>
    </row>
    <row r="503" customFormat="false" ht="15" hidden="false" customHeight="false" outlineLevel="0" collapsed="false">
      <c r="A503" s="3"/>
      <c r="B503" s="3"/>
      <c r="C503" s="3"/>
      <c r="D503" s="3" t="str">
        <f aca="false">IF($B503="","",IFERROR(LOOKUP(2^15,SEARCH(Rules!$A$2:$A$200&amp;"",$B503)/(Rules!$A$2:$A$200&lt;&gt;""),Rules!$B$2:$B$200),"Uncategorized"))</f>
        <v/>
      </c>
      <c r="E503" s="3" t="str">
        <f aca="false">IF($B503="","",IF($C503&gt;=0,"Income","Expense"))</f>
        <v/>
      </c>
      <c r="F503" s="3" t="str">
        <f aca="false">IF($B503="","",IFERROR(LOOKUP(2^15,SEARCH(Rules!$A$2:$A$200&amp;"",$B503)/(Rules!$A$2:$A$200&lt;&gt;""),Rules!$A$2:$A$200),""))</f>
        <v/>
      </c>
      <c r="G503" s="3" t="str">
        <f aca="false">IF($B503="","",IF(D503="Uncategorized","⚠ Review",IF(IFERROR(LOOKUP(2^15,SEARCH(Rules!$A$2:$A$200&amp;"",$B503)/(Rules!$A$2:$A$200&lt;&gt;""),Rules!$C$2:$C$200),"")&lt;&gt;E503,"⚠ Check sign","OK")))</f>
        <v/>
      </c>
    </row>
    <row r="504" customFormat="false" ht="15" hidden="false" customHeight="false" outlineLevel="0" collapsed="false">
      <c r="A504" s="3"/>
      <c r="B504" s="3"/>
      <c r="C504" s="3"/>
      <c r="D504" s="3" t="str">
        <f aca="false">IF($B504="","",IFERROR(LOOKUP(2^15,SEARCH(Rules!$A$2:$A$200&amp;"",$B504)/(Rules!$A$2:$A$200&lt;&gt;""),Rules!$B$2:$B$200),"Uncategorized"))</f>
        <v/>
      </c>
      <c r="E504" s="3" t="str">
        <f aca="false">IF($B504="","",IF($C504&gt;=0,"Income","Expense"))</f>
        <v/>
      </c>
      <c r="F504" s="3" t="str">
        <f aca="false">IF($B504="","",IFERROR(LOOKUP(2^15,SEARCH(Rules!$A$2:$A$200&amp;"",$B504)/(Rules!$A$2:$A$200&lt;&gt;""),Rules!$A$2:$A$200),""))</f>
        <v/>
      </c>
      <c r="G504" s="3" t="str">
        <f aca="false">IF($B504="","",IF(D504="Uncategorized","⚠ Review",IF(IFERROR(LOOKUP(2^15,SEARCH(Rules!$A$2:$A$200&amp;"",$B504)/(Rules!$A$2:$A$200&lt;&gt;""),Rules!$C$2:$C$200),"")&lt;&gt;E504,"⚠ Check sign","OK")))</f>
        <v/>
      </c>
    </row>
    <row r="505" customFormat="false" ht="15" hidden="false" customHeight="false" outlineLevel="0" collapsed="false">
      <c r="A505" s="3"/>
      <c r="B505" s="3"/>
      <c r="C505" s="3"/>
      <c r="D505" s="3" t="str">
        <f aca="false">IF($B505="","",IFERROR(LOOKUP(2^15,SEARCH(Rules!$A$2:$A$200&amp;"",$B505)/(Rules!$A$2:$A$200&lt;&gt;""),Rules!$B$2:$B$200),"Uncategorized"))</f>
        <v/>
      </c>
      <c r="E505" s="3" t="str">
        <f aca="false">IF($B505="","",IF($C505&gt;=0,"Income","Expense"))</f>
        <v/>
      </c>
      <c r="F505" s="3" t="str">
        <f aca="false">IF($B505="","",IFERROR(LOOKUP(2^15,SEARCH(Rules!$A$2:$A$200&amp;"",$B505)/(Rules!$A$2:$A$200&lt;&gt;""),Rules!$A$2:$A$200),""))</f>
        <v/>
      </c>
      <c r="G505" s="3" t="str">
        <f aca="false">IF($B505="","",IF(D505="Uncategorized","⚠ Review",IF(IFERROR(LOOKUP(2^15,SEARCH(Rules!$A$2:$A$200&amp;"",$B505)/(Rules!$A$2:$A$200&lt;&gt;""),Rules!$C$2:$C$200),"")&lt;&gt;E505,"⚠ Check sign","OK")))</f>
        <v/>
      </c>
    </row>
    <row r="506" customFormat="false" ht="15" hidden="false" customHeight="false" outlineLevel="0" collapsed="false">
      <c r="A506" s="3"/>
      <c r="B506" s="3"/>
      <c r="C506" s="3"/>
      <c r="D506" s="3" t="str">
        <f aca="false">IF($B506="","",IFERROR(LOOKUP(2^15,SEARCH(Rules!$A$2:$A$200&amp;"",$B506)/(Rules!$A$2:$A$200&lt;&gt;""),Rules!$B$2:$B$200),"Uncategorized"))</f>
        <v/>
      </c>
      <c r="E506" s="3" t="str">
        <f aca="false">IF($B506="","",IF($C506&gt;=0,"Income","Expense"))</f>
        <v/>
      </c>
      <c r="F506" s="3" t="str">
        <f aca="false">IF($B506="","",IFERROR(LOOKUP(2^15,SEARCH(Rules!$A$2:$A$200&amp;"",$B506)/(Rules!$A$2:$A$200&lt;&gt;""),Rules!$A$2:$A$200),""))</f>
        <v/>
      </c>
      <c r="G506" s="3" t="str">
        <f aca="false">IF($B506="","",IF(D506="Uncategorized","⚠ Review",IF(IFERROR(LOOKUP(2^15,SEARCH(Rules!$A$2:$A$200&amp;"",$B506)/(Rules!$A$2:$A$200&lt;&gt;""),Rules!$C$2:$C$200),"")&lt;&gt;E506,"⚠ Check sign","OK")))</f>
        <v/>
      </c>
    </row>
    <row r="507" customFormat="false" ht="15" hidden="false" customHeight="false" outlineLevel="0" collapsed="false">
      <c r="A507" s="3"/>
      <c r="B507" s="3"/>
      <c r="C507" s="3"/>
      <c r="D507" s="3" t="str">
        <f aca="false">IF($B507="","",IFERROR(LOOKUP(2^15,SEARCH(Rules!$A$2:$A$200&amp;"",$B507)/(Rules!$A$2:$A$200&lt;&gt;""),Rules!$B$2:$B$200),"Uncategorized"))</f>
        <v/>
      </c>
      <c r="E507" s="3" t="str">
        <f aca="false">IF($B507="","",IF($C507&gt;=0,"Income","Expense"))</f>
        <v/>
      </c>
      <c r="F507" s="3" t="str">
        <f aca="false">IF($B507="","",IFERROR(LOOKUP(2^15,SEARCH(Rules!$A$2:$A$200&amp;"",$B507)/(Rules!$A$2:$A$200&lt;&gt;""),Rules!$A$2:$A$200),""))</f>
        <v/>
      </c>
      <c r="G507" s="3" t="str">
        <f aca="false">IF($B507="","",IF(D507="Uncategorized","⚠ Review",IF(IFERROR(LOOKUP(2^15,SEARCH(Rules!$A$2:$A$200&amp;"",$B507)/(Rules!$A$2:$A$200&lt;&gt;""),Rules!$C$2:$C$200),"")&lt;&gt;E507,"⚠ Check sign","OK")))</f>
        <v/>
      </c>
    </row>
    <row r="508" customFormat="false" ht="15" hidden="false" customHeight="false" outlineLevel="0" collapsed="false">
      <c r="A508" s="3"/>
      <c r="B508" s="3"/>
      <c r="C508" s="3"/>
      <c r="D508" s="3" t="str">
        <f aca="false">IF($B508="","",IFERROR(LOOKUP(2^15,SEARCH(Rules!$A$2:$A$200&amp;"",$B508)/(Rules!$A$2:$A$200&lt;&gt;""),Rules!$B$2:$B$200),"Uncategorized"))</f>
        <v/>
      </c>
      <c r="E508" s="3" t="str">
        <f aca="false">IF($B508="","",IF($C508&gt;=0,"Income","Expense"))</f>
        <v/>
      </c>
      <c r="F508" s="3" t="str">
        <f aca="false">IF($B508="","",IFERROR(LOOKUP(2^15,SEARCH(Rules!$A$2:$A$200&amp;"",$B508)/(Rules!$A$2:$A$200&lt;&gt;""),Rules!$A$2:$A$200),""))</f>
        <v/>
      </c>
      <c r="G508" s="3" t="str">
        <f aca="false">IF($B508="","",IF(D508="Uncategorized","⚠ Review",IF(IFERROR(LOOKUP(2^15,SEARCH(Rules!$A$2:$A$200&amp;"",$B508)/(Rules!$A$2:$A$200&lt;&gt;""),Rules!$C$2:$C$200),"")&lt;&gt;E508,"⚠ Check sign","OK")))</f>
        <v/>
      </c>
    </row>
    <row r="509" customFormat="false" ht="15" hidden="false" customHeight="false" outlineLevel="0" collapsed="false">
      <c r="A509" s="3"/>
      <c r="B509" s="3"/>
      <c r="C509" s="3"/>
      <c r="D509" s="3" t="str">
        <f aca="false">IF($B509="","",IFERROR(LOOKUP(2^15,SEARCH(Rules!$A$2:$A$200&amp;"",$B509)/(Rules!$A$2:$A$200&lt;&gt;""),Rules!$B$2:$B$200),"Uncategorized"))</f>
        <v/>
      </c>
      <c r="E509" s="3" t="str">
        <f aca="false">IF($B509="","",IF($C509&gt;=0,"Income","Expense"))</f>
        <v/>
      </c>
      <c r="F509" s="3" t="str">
        <f aca="false">IF($B509="","",IFERROR(LOOKUP(2^15,SEARCH(Rules!$A$2:$A$200&amp;"",$B509)/(Rules!$A$2:$A$200&lt;&gt;""),Rules!$A$2:$A$200),""))</f>
        <v/>
      </c>
      <c r="G509" s="3" t="str">
        <f aca="false">IF($B509="","",IF(D509="Uncategorized","⚠ Review",IF(IFERROR(LOOKUP(2^15,SEARCH(Rules!$A$2:$A$200&amp;"",$B509)/(Rules!$A$2:$A$200&lt;&gt;""),Rules!$C$2:$C$200),"")&lt;&gt;E509,"⚠ Check sign","OK")))</f>
        <v/>
      </c>
    </row>
    <row r="510" customFormat="false" ht="15" hidden="false" customHeight="false" outlineLevel="0" collapsed="false">
      <c r="A510" s="3"/>
      <c r="B510" s="3"/>
      <c r="C510" s="3"/>
      <c r="D510" s="3" t="str">
        <f aca="false">IF($B510="","",IFERROR(LOOKUP(2^15,SEARCH(Rules!$A$2:$A$200&amp;"",$B510)/(Rules!$A$2:$A$200&lt;&gt;""),Rules!$B$2:$B$200),"Uncategorized"))</f>
        <v/>
      </c>
      <c r="E510" s="3" t="str">
        <f aca="false">IF($B510="","",IF($C510&gt;=0,"Income","Expense"))</f>
        <v/>
      </c>
      <c r="F510" s="3" t="str">
        <f aca="false">IF($B510="","",IFERROR(LOOKUP(2^15,SEARCH(Rules!$A$2:$A$200&amp;"",$B510)/(Rules!$A$2:$A$200&lt;&gt;""),Rules!$A$2:$A$200),""))</f>
        <v/>
      </c>
      <c r="G510" s="3" t="str">
        <f aca="false">IF($B510="","",IF(D510="Uncategorized","⚠ Review",IF(IFERROR(LOOKUP(2^15,SEARCH(Rules!$A$2:$A$200&amp;"",$B510)/(Rules!$A$2:$A$200&lt;&gt;""),Rules!$C$2:$C$200),"")&lt;&gt;E510,"⚠ Check sign","OK")))</f>
        <v/>
      </c>
    </row>
    <row r="511" customFormat="false" ht="15" hidden="false" customHeight="false" outlineLevel="0" collapsed="false">
      <c r="A511" s="3"/>
      <c r="B511" s="3"/>
      <c r="C511" s="3"/>
      <c r="D511" s="3" t="str">
        <f aca="false">IF($B511="","",IFERROR(LOOKUP(2^15,SEARCH(Rules!$A$2:$A$200&amp;"",$B511)/(Rules!$A$2:$A$200&lt;&gt;""),Rules!$B$2:$B$200),"Uncategorized"))</f>
        <v/>
      </c>
      <c r="E511" s="3" t="str">
        <f aca="false">IF($B511="","",IF($C511&gt;=0,"Income","Expense"))</f>
        <v/>
      </c>
      <c r="F511" s="3" t="str">
        <f aca="false">IF($B511="","",IFERROR(LOOKUP(2^15,SEARCH(Rules!$A$2:$A$200&amp;"",$B511)/(Rules!$A$2:$A$200&lt;&gt;""),Rules!$A$2:$A$200),""))</f>
        <v/>
      </c>
      <c r="G511" s="3" t="str">
        <f aca="false">IF($B511="","",IF(D511="Uncategorized","⚠ Review",IF(IFERROR(LOOKUP(2^15,SEARCH(Rules!$A$2:$A$200&amp;"",$B511)/(Rules!$A$2:$A$200&lt;&gt;""),Rules!$C$2:$C$200),"")&lt;&gt;E511,"⚠ Check sign","OK")))</f>
        <v/>
      </c>
    </row>
    <row r="512" customFormat="false" ht="15" hidden="false" customHeight="false" outlineLevel="0" collapsed="false">
      <c r="A512" s="3"/>
      <c r="B512" s="3"/>
      <c r="C512" s="3"/>
      <c r="D512" s="3" t="str">
        <f aca="false">IF($B512="","",IFERROR(LOOKUP(2^15,SEARCH(Rules!$A$2:$A$200&amp;"",$B512)/(Rules!$A$2:$A$200&lt;&gt;""),Rules!$B$2:$B$200),"Uncategorized"))</f>
        <v/>
      </c>
      <c r="E512" s="3" t="str">
        <f aca="false">IF($B512="","",IF($C512&gt;=0,"Income","Expense"))</f>
        <v/>
      </c>
      <c r="F512" s="3" t="str">
        <f aca="false">IF($B512="","",IFERROR(LOOKUP(2^15,SEARCH(Rules!$A$2:$A$200&amp;"",$B512)/(Rules!$A$2:$A$200&lt;&gt;""),Rules!$A$2:$A$200),""))</f>
        <v/>
      </c>
      <c r="G512" s="3" t="str">
        <f aca="false">IF($B512="","",IF(D512="Uncategorized","⚠ Review",IF(IFERROR(LOOKUP(2^15,SEARCH(Rules!$A$2:$A$200&amp;"",$B512)/(Rules!$A$2:$A$200&lt;&gt;""),Rules!$C$2:$C$200),"")&lt;&gt;E512,"⚠ Check sign","OK")))</f>
        <v/>
      </c>
    </row>
    <row r="513" customFormat="false" ht="15" hidden="false" customHeight="false" outlineLevel="0" collapsed="false">
      <c r="A513" s="3"/>
      <c r="B513" s="3"/>
      <c r="C513" s="3"/>
      <c r="D513" s="3" t="str">
        <f aca="false">IF($B513="","",IFERROR(LOOKUP(2^15,SEARCH(Rules!$A$2:$A$200&amp;"",$B513)/(Rules!$A$2:$A$200&lt;&gt;""),Rules!$B$2:$B$200),"Uncategorized"))</f>
        <v/>
      </c>
      <c r="E513" s="3" t="str">
        <f aca="false">IF($B513="","",IF($C513&gt;=0,"Income","Expense"))</f>
        <v/>
      </c>
      <c r="F513" s="3" t="str">
        <f aca="false">IF($B513="","",IFERROR(LOOKUP(2^15,SEARCH(Rules!$A$2:$A$200&amp;"",$B513)/(Rules!$A$2:$A$200&lt;&gt;""),Rules!$A$2:$A$200),""))</f>
        <v/>
      </c>
      <c r="G513" s="3" t="str">
        <f aca="false">IF($B513="","",IF(D513="Uncategorized","⚠ Review",IF(IFERROR(LOOKUP(2^15,SEARCH(Rules!$A$2:$A$200&amp;"",$B513)/(Rules!$A$2:$A$200&lt;&gt;""),Rules!$C$2:$C$200),"")&lt;&gt;E513,"⚠ Check sign","OK")))</f>
        <v/>
      </c>
    </row>
    <row r="514" customFormat="false" ht="15" hidden="false" customHeight="false" outlineLevel="0" collapsed="false">
      <c r="A514" s="3"/>
      <c r="B514" s="3"/>
      <c r="C514" s="3"/>
      <c r="D514" s="3" t="str">
        <f aca="false">IF($B514="","",IFERROR(LOOKUP(2^15,SEARCH(Rules!$A$2:$A$200&amp;"",$B514)/(Rules!$A$2:$A$200&lt;&gt;""),Rules!$B$2:$B$200),"Uncategorized"))</f>
        <v/>
      </c>
      <c r="E514" s="3" t="str">
        <f aca="false">IF($B514="","",IF($C514&gt;=0,"Income","Expense"))</f>
        <v/>
      </c>
      <c r="F514" s="3" t="str">
        <f aca="false">IF($B514="","",IFERROR(LOOKUP(2^15,SEARCH(Rules!$A$2:$A$200&amp;"",$B514)/(Rules!$A$2:$A$200&lt;&gt;""),Rules!$A$2:$A$200),""))</f>
        <v/>
      </c>
      <c r="G514" s="3" t="str">
        <f aca="false">IF($B514="","",IF(D514="Uncategorized","⚠ Review",IF(IFERROR(LOOKUP(2^15,SEARCH(Rules!$A$2:$A$200&amp;"",$B514)/(Rules!$A$2:$A$200&lt;&gt;""),Rules!$C$2:$C$200),"")&lt;&gt;E514,"⚠ Check sign","OK")))</f>
        <v/>
      </c>
    </row>
    <row r="515" customFormat="false" ht="15" hidden="false" customHeight="false" outlineLevel="0" collapsed="false">
      <c r="A515" s="3"/>
      <c r="B515" s="3"/>
      <c r="C515" s="3"/>
      <c r="D515" s="3" t="str">
        <f aca="false">IF($B515="","",IFERROR(LOOKUP(2^15,SEARCH(Rules!$A$2:$A$200&amp;"",$B515)/(Rules!$A$2:$A$200&lt;&gt;""),Rules!$B$2:$B$200),"Uncategorized"))</f>
        <v/>
      </c>
      <c r="E515" s="3" t="str">
        <f aca="false">IF($B515="","",IF($C515&gt;=0,"Income","Expense"))</f>
        <v/>
      </c>
      <c r="F515" s="3" t="str">
        <f aca="false">IF($B515="","",IFERROR(LOOKUP(2^15,SEARCH(Rules!$A$2:$A$200&amp;"",$B515)/(Rules!$A$2:$A$200&lt;&gt;""),Rules!$A$2:$A$200),""))</f>
        <v/>
      </c>
      <c r="G515" s="3" t="str">
        <f aca="false">IF($B515="","",IF(D515="Uncategorized","⚠ Review",IF(IFERROR(LOOKUP(2^15,SEARCH(Rules!$A$2:$A$200&amp;"",$B515)/(Rules!$A$2:$A$200&lt;&gt;""),Rules!$C$2:$C$200),"")&lt;&gt;E515,"⚠ Check sign","OK")))</f>
        <v/>
      </c>
    </row>
    <row r="516" customFormat="false" ht="15" hidden="false" customHeight="false" outlineLevel="0" collapsed="false">
      <c r="A516" s="3"/>
      <c r="B516" s="3"/>
      <c r="C516" s="3"/>
      <c r="D516" s="3" t="str">
        <f aca="false">IF($B516="","",IFERROR(LOOKUP(2^15,SEARCH(Rules!$A$2:$A$200&amp;"",$B516)/(Rules!$A$2:$A$200&lt;&gt;""),Rules!$B$2:$B$200),"Uncategorized"))</f>
        <v/>
      </c>
      <c r="E516" s="3" t="str">
        <f aca="false">IF($B516="","",IF($C516&gt;=0,"Income","Expense"))</f>
        <v/>
      </c>
      <c r="F516" s="3" t="str">
        <f aca="false">IF($B516="","",IFERROR(LOOKUP(2^15,SEARCH(Rules!$A$2:$A$200&amp;"",$B516)/(Rules!$A$2:$A$200&lt;&gt;""),Rules!$A$2:$A$200),""))</f>
        <v/>
      </c>
      <c r="G516" s="3" t="str">
        <f aca="false">IF($B516="","",IF(D516="Uncategorized","⚠ Review",IF(IFERROR(LOOKUP(2^15,SEARCH(Rules!$A$2:$A$200&amp;"",$B516)/(Rules!$A$2:$A$200&lt;&gt;""),Rules!$C$2:$C$200),"")&lt;&gt;E516,"⚠ Check sign","OK")))</f>
        <v/>
      </c>
    </row>
    <row r="517" customFormat="false" ht="15" hidden="false" customHeight="false" outlineLevel="0" collapsed="false">
      <c r="A517" s="3"/>
      <c r="B517" s="3"/>
      <c r="C517" s="3"/>
      <c r="D517" s="3" t="str">
        <f aca="false">IF($B517="","",IFERROR(LOOKUP(2^15,SEARCH(Rules!$A$2:$A$200&amp;"",$B517)/(Rules!$A$2:$A$200&lt;&gt;""),Rules!$B$2:$B$200),"Uncategorized"))</f>
        <v/>
      </c>
      <c r="E517" s="3" t="str">
        <f aca="false">IF($B517="","",IF($C517&gt;=0,"Income","Expense"))</f>
        <v/>
      </c>
      <c r="F517" s="3" t="str">
        <f aca="false">IF($B517="","",IFERROR(LOOKUP(2^15,SEARCH(Rules!$A$2:$A$200&amp;"",$B517)/(Rules!$A$2:$A$200&lt;&gt;""),Rules!$A$2:$A$200),""))</f>
        <v/>
      </c>
      <c r="G517" s="3" t="str">
        <f aca="false">IF($B517="","",IF(D517="Uncategorized","⚠ Review",IF(IFERROR(LOOKUP(2^15,SEARCH(Rules!$A$2:$A$200&amp;"",$B517)/(Rules!$A$2:$A$200&lt;&gt;""),Rules!$C$2:$C$200),"")&lt;&gt;E517,"⚠ Check sign","OK")))</f>
        <v/>
      </c>
    </row>
    <row r="518" customFormat="false" ht="15" hidden="false" customHeight="false" outlineLevel="0" collapsed="false">
      <c r="A518" s="3"/>
      <c r="B518" s="3"/>
      <c r="C518" s="3"/>
      <c r="D518" s="3" t="str">
        <f aca="false">IF($B518="","",IFERROR(LOOKUP(2^15,SEARCH(Rules!$A$2:$A$200&amp;"",$B518)/(Rules!$A$2:$A$200&lt;&gt;""),Rules!$B$2:$B$200),"Uncategorized"))</f>
        <v/>
      </c>
      <c r="E518" s="3" t="str">
        <f aca="false">IF($B518="","",IF($C518&gt;=0,"Income","Expense"))</f>
        <v/>
      </c>
      <c r="F518" s="3" t="str">
        <f aca="false">IF($B518="","",IFERROR(LOOKUP(2^15,SEARCH(Rules!$A$2:$A$200&amp;"",$B518)/(Rules!$A$2:$A$200&lt;&gt;""),Rules!$A$2:$A$200),""))</f>
        <v/>
      </c>
      <c r="G518" s="3" t="str">
        <f aca="false">IF($B518="","",IF(D518="Uncategorized","⚠ Review",IF(IFERROR(LOOKUP(2^15,SEARCH(Rules!$A$2:$A$200&amp;"",$B518)/(Rules!$A$2:$A$200&lt;&gt;""),Rules!$C$2:$C$200),"")&lt;&gt;E518,"⚠ Check sign","OK")))</f>
        <v/>
      </c>
    </row>
    <row r="519" customFormat="false" ht="15" hidden="false" customHeight="false" outlineLevel="0" collapsed="false">
      <c r="A519" s="3"/>
      <c r="B519" s="3"/>
      <c r="C519" s="3"/>
      <c r="D519" s="3" t="str">
        <f aca="false">IF($B519="","",IFERROR(LOOKUP(2^15,SEARCH(Rules!$A$2:$A$200&amp;"",$B519)/(Rules!$A$2:$A$200&lt;&gt;""),Rules!$B$2:$B$200),"Uncategorized"))</f>
        <v/>
      </c>
      <c r="E519" s="3" t="str">
        <f aca="false">IF($B519="","",IF($C519&gt;=0,"Income","Expense"))</f>
        <v/>
      </c>
      <c r="F519" s="3" t="str">
        <f aca="false">IF($B519="","",IFERROR(LOOKUP(2^15,SEARCH(Rules!$A$2:$A$200&amp;"",$B519)/(Rules!$A$2:$A$200&lt;&gt;""),Rules!$A$2:$A$200),""))</f>
        <v/>
      </c>
      <c r="G519" s="3" t="str">
        <f aca="false">IF($B519="","",IF(D519="Uncategorized","⚠ Review",IF(IFERROR(LOOKUP(2^15,SEARCH(Rules!$A$2:$A$200&amp;"",$B519)/(Rules!$A$2:$A$200&lt;&gt;""),Rules!$C$2:$C$200),"")&lt;&gt;E519,"⚠ Check sign","OK")))</f>
        <v/>
      </c>
    </row>
    <row r="520" customFormat="false" ht="15" hidden="false" customHeight="false" outlineLevel="0" collapsed="false">
      <c r="A520" s="3"/>
      <c r="B520" s="3"/>
      <c r="C520" s="3"/>
      <c r="D520" s="3" t="str">
        <f aca="false">IF($B520="","",IFERROR(LOOKUP(2^15,SEARCH(Rules!$A$2:$A$200&amp;"",$B520)/(Rules!$A$2:$A$200&lt;&gt;""),Rules!$B$2:$B$200),"Uncategorized"))</f>
        <v/>
      </c>
      <c r="E520" s="3" t="str">
        <f aca="false">IF($B520="","",IF($C520&gt;=0,"Income","Expense"))</f>
        <v/>
      </c>
      <c r="F520" s="3" t="str">
        <f aca="false">IF($B520="","",IFERROR(LOOKUP(2^15,SEARCH(Rules!$A$2:$A$200&amp;"",$B520)/(Rules!$A$2:$A$200&lt;&gt;""),Rules!$A$2:$A$200),""))</f>
        <v/>
      </c>
      <c r="G520" s="3" t="str">
        <f aca="false">IF($B520="","",IF(D520="Uncategorized","⚠ Review",IF(IFERROR(LOOKUP(2^15,SEARCH(Rules!$A$2:$A$200&amp;"",$B520)/(Rules!$A$2:$A$200&lt;&gt;""),Rules!$C$2:$C$200),"")&lt;&gt;E520,"⚠ Check sign","OK")))</f>
        <v/>
      </c>
    </row>
    <row r="521" customFormat="false" ht="15" hidden="false" customHeight="false" outlineLevel="0" collapsed="false">
      <c r="A521" s="3"/>
      <c r="B521" s="3"/>
      <c r="C521" s="3"/>
      <c r="D521" s="3" t="str">
        <f aca="false">IF($B521="","",IFERROR(LOOKUP(2^15,SEARCH(Rules!$A$2:$A$200&amp;"",$B521)/(Rules!$A$2:$A$200&lt;&gt;""),Rules!$B$2:$B$200),"Uncategorized"))</f>
        <v/>
      </c>
      <c r="E521" s="3" t="str">
        <f aca="false">IF($B521="","",IF($C521&gt;=0,"Income","Expense"))</f>
        <v/>
      </c>
      <c r="F521" s="3" t="str">
        <f aca="false">IF($B521="","",IFERROR(LOOKUP(2^15,SEARCH(Rules!$A$2:$A$200&amp;"",$B521)/(Rules!$A$2:$A$200&lt;&gt;""),Rules!$A$2:$A$200),""))</f>
        <v/>
      </c>
      <c r="G521" s="3" t="str">
        <f aca="false">IF($B521="","",IF(D521="Uncategorized","⚠ Review",IF(IFERROR(LOOKUP(2^15,SEARCH(Rules!$A$2:$A$200&amp;"",$B521)/(Rules!$A$2:$A$200&lt;&gt;""),Rules!$C$2:$C$200),"")&lt;&gt;E521,"⚠ Check sign","OK")))</f>
        <v/>
      </c>
    </row>
    <row r="522" customFormat="false" ht="15" hidden="false" customHeight="false" outlineLevel="0" collapsed="false">
      <c r="A522" s="3"/>
      <c r="B522" s="3"/>
      <c r="C522" s="3"/>
      <c r="D522" s="3" t="str">
        <f aca="false">IF($B522="","",IFERROR(LOOKUP(2^15,SEARCH(Rules!$A$2:$A$200&amp;"",$B522)/(Rules!$A$2:$A$200&lt;&gt;""),Rules!$B$2:$B$200),"Uncategorized"))</f>
        <v/>
      </c>
      <c r="E522" s="3" t="str">
        <f aca="false">IF($B522="","",IF($C522&gt;=0,"Income","Expense"))</f>
        <v/>
      </c>
      <c r="F522" s="3" t="str">
        <f aca="false">IF($B522="","",IFERROR(LOOKUP(2^15,SEARCH(Rules!$A$2:$A$200&amp;"",$B522)/(Rules!$A$2:$A$200&lt;&gt;""),Rules!$A$2:$A$200),""))</f>
        <v/>
      </c>
      <c r="G522" s="3" t="str">
        <f aca="false">IF($B522="","",IF(D522="Uncategorized","⚠ Review",IF(IFERROR(LOOKUP(2^15,SEARCH(Rules!$A$2:$A$200&amp;"",$B522)/(Rules!$A$2:$A$200&lt;&gt;""),Rules!$C$2:$C$200),"")&lt;&gt;E522,"⚠ Check sign","OK")))</f>
        <v/>
      </c>
    </row>
    <row r="523" customFormat="false" ht="15" hidden="false" customHeight="false" outlineLevel="0" collapsed="false">
      <c r="A523" s="3"/>
      <c r="B523" s="3"/>
      <c r="C523" s="3"/>
      <c r="D523" s="3" t="str">
        <f aca="false">IF($B523="","",IFERROR(LOOKUP(2^15,SEARCH(Rules!$A$2:$A$200&amp;"",$B523)/(Rules!$A$2:$A$200&lt;&gt;""),Rules!$B$2:$B$200),"Uncategorized"))</f>
        <v/>
      </c>
      <c r="E523" s="3" t="str">
        <f aca="false">IF($B523="","",IF($C523&gt;=0,"Income","Expense"))</f>
        <v/>
      </c>
      <c r="F523" s="3" t="str">
        <f aca="false">IF($B523="","",IFERROR(LOOKUP(2^15,SEARCH(Rules!$A$2:$A$200&amp;"",$B523)/(Rules!$A$2:$A$200&lt;&gt;""),Rules!$A$2:$A$200),""))</f>
        <v/>
      </c>
      <c r="G523" s="3" t="str">
        <f aca="false">IF($B523="","",IF(D523="Uncategorized","⚠ Review",IF(IFERROR(LOOKUP(2^15,SEARCH(Rules!$A$2:$A$200&amp;"",$B523)/(Rules!$A$2:$A$200&lt;&gt;""),Rules!$C$2:$C$200),"")&lt;&gt;E523,"⚠ Check sign","OK")))</f>
        <v/>
      </c>
    </row>
    <row r="524" customFormat="false" ht="15" hidden="false" customHeight="false" outlineLevel="0" collapsed="false">
      <c r="A524" s="3"/>
      <c r="B524" s="3"/>
      <c r="C524" s="3"/>
      <c r="D524" s="3" t="str">
        <f aca="false">IF($B524="","",IFERROR(LOOKUP(2^15,SEARCH(Rules!$A$2:$A$200&amp;"",$B524)/(Rules!$A$2:$A$200&lt;&gt;""),Rules!$B$2:$B$200),"Uncategorized"))</f>
        <v/>
      </c>
      <c r="E524" s="3" t="str">
        <f aca="false">IF($B524="","",IF($C524&gt;=0,"Income","Expense"))</f>
        <v/>
      </c>
      <c r="F524" s="3" t="str">
        <f aca="false">IF($B524="","",IFERROR(LOOKUP(2^15,SEARCH(Rules!$A$2:$A$200&amp;"",$B524)/(Rules!$A$2:$A$200&lt;&gt;""),Rules!$A$2:$A$200),""))</f>
        <v/>
      </c>
      <c r="G524" s="3" t="str">
        <f aca="false">IF($B524="","",IF(D524="Uncategorized","⚠ Review",IF(IFERROR(LOOKUP(2^15,SEARCH(Rules!$A$2:$A$200&amp;"",$B524)/(Rules!$A$2:$A$200&lt;&gt;""),Rules!$C$2:$C$200),"")&lt;&gt;E524,"⚠ Check sign","OK")))</f>
        <v/>
      </c>
    </row>
    <row r="525" customFormat="false" ht="15" hidden="false" customHeight="false" outlineLevel="0" collapsed="false">
      <c r="A525" s="3"/>
      <c r="B525" s="3"/>
      <c r="C525" s="3"/>
      <c r="D525" s="3" t="str">
        <f aca="false">IF($B525="","",IFERROR(LOOKUP(2^15,SEARCH(Rules!$A$2:$A$200&amp;"",$B525)/(Rules!$A$2:$A$200&lt;&gt;""),Rules!$B$2:$B$200),"Uncategorized"))</f>
        <v/>
      </c>
      <c r="E525" s="3" t="str">
        <f aca="false">IF($B525="","",IF($C525&gt;=0,"Income","Expense"))</f>
        <v/>
      </c>
      <c r="F525" s="3" t="str">
        <f aca="false">IF($B525="","",IFERROR(LOOKUP(2^15,SEARCH(Rules!$A$2:$A$200&amp;"",$B525)/(Rules!$A$2:$A$200&lt;&gt;""),Rules!$A$2:$A$200),""))</f>
        <v/>
      </c>
      <c r="G525" s="3" t="str">
        <f aca="false">IF($B525="","",IF(D525="Uncategorized","⚠ Review",IF(IFERROR(LOOKUP(2^15,SEARCH(Rules!$A$2:$A$200&amp;"",$B525)/(Rules!$A$2:$A$200&lt;&gt;""),Rules!$C$2:$C$200),"")&lt;&gt;E525,"⚠ Check sign","OK")))</f>
        <v/>
      </c>
    </row>
    <row r="526" customFormat="false" ht="15" hidden="false" customHeight="false" outlineLevel="0" collapsed="false">
      <c r="A526" s="3"/>
      <c r="B526" s="3"/>
      <c r="C526" s="3"/>
      <c r="D526" s="3" t="str">
        <f aca="false">IF($B526="","",IFERROR(LOOKUP(2^15,SEARCH(Rules!$A$2:$A$200&amp;"",$B526)/(Rules!$A$2:$A$200&lt;&gt;""),Rules!$B$2:$B$200),"Uncategorized"))</f>
        <v/>
      </c>
      <c r="E526" s="3" t="str">
        <f aca="false">IF($B526="","",IF($C526&gt;=0,"Income","Expense"))</f>
        <v/>
      </c>
      <c r="F526" s="3" t="str">
        <f aca="false">IF($B526="","",IFERROR(LOOKUP(2^15,SEARCH(Rules!$A$2:$A$200&amp;"",$B526)/(Rules!$A$2:$A$200&lt;&gt;""),Rules!$A$2:$A$200),""))</f>
        <v/>
      </c>
      <c r="G526" s="3" t="str">
        <f aca="false">IF($B526="","",IF(D526="Uncategorized","⚠ Review",IF(IFERROR(LOOKUP(2^15,SEARCH(Rules!$A$2:$A$200&amp;"",$B526)/(Rules!$A$2:$A$200&lt;&gt;""),Rules!$C$2:$C$200),"")&lt;&gt;E526,"⚠ Check sign","OK")))</f>
        <v/>
      </c>
    </row>
    <row r="527" customFormat="false" ht="15" hidden="false" customHeight="false" outlineLevel="0" collapsed="false">
      <c r="A527" s="3"/>
      <c r="B527" s="3"/>
      <c r="C527" s="3"/>
      <c r="D527" s="3" t="str">
        <f aca="false">IF($B527="","",IFERROR(LOOKUP(2^15,SEARCH(Rules!$A$2:$A$200&amp;"",$B527)/(Rules!$A$2:$A$200&lt;&gt;""),Rules!$B$2:$B$200),"Uncategorized"))</f>
        <v/>
      </c>
      <c r="E527" s="3" t="str">
        <f aca="false">IF($B527="","",IF($C527&gt;=0,"Income","Expense"))</f>
        <v/>
      </c>
      <c r="F527" s="3" t="str">
        <f aca="false">IF($B527="","",IFERROR(LOOKUP(2^15,SEARCH(Rules!$A$2:$A$200&amp;"",$B527)/(Rules!$A$2:$A$200&lt;&gt;""),Rules!$A$2:$A$200),""))</f>
        <v/>
      </c>
      <c r="G527" s="3" t="str">
        <f aca="false">IF($B527="","",IF(D527="Uncategorized","⚠ Review",IF(IFERROR(LOOKUP(2^15,SEARCH(Rules!$A$2:$A$200&amp;"",$B527)/(Rules!$A$2:$A$200&lt;&gt;""),Rules!$C$2:$C$200),"")&lt;&gt;E527,"⚠ Check sign","OK")))</f>
        <v/>
      </c>
    </row>
    <row r="528" customFormat="false" ht="15" hidden="false" customHeight="false" outlineLevel="0" collapsed="false">
      <c r="A528" s="3"/>
      <c r="B528" s="3"/>
      <c r="C528" s="3"/>
      <c r="D528" s="3" t="str">
        <f aca="false">IF($B528="","",IFERROR(LOOKUP(2^15,SEARCH(Rules!$A$2:$A$200&amp;"",$B528)/(Rules!$A$2:$A$200&lt;&gt;""),Rules!$B$2:$B$200),"Uncategorized"))</f>
        <v/>
      </c>
      <c r="E528" s="3" t="str">
        <f aca="false">IF($B528="","",IF($C528&gt;=0,"Income","Expense"))</f>
        <v/>
      </c>
      <c r="F528" s="3" t="str">
        <f aca="false">IF($B528="","",IFERROR(LOOKUP(2^15,SEARCH(Rules!$A$2:$A$200&amp;"",$B528)/(Rules!$A$2:$A$200&lt;&gt;""),Rules!$A$2:$A$200),""))</f>
        <v/>
      </c>
      <c r="G528" s="3" t="str">
        <f aca="false">IF($B528="","",IF(D528="Uncategorized","⚠ Review",IF(IFERROR(LOOKUP(2^15,SEARCH(Rules!$A$2:$A$200&amp;"",$B528)/(Rules!$A$2:$A$200&lt;&gt;""),Rules!$C$2:$C$200),"")&lt;&gt;E528,"⚠ Check sign","OK")))</f>
        <v/>
      </c>
    </row>
    <row r="529" customFormat="false" ht="15" hidden="false" customHeight="false" outlineLevel="0" collapsed="false">
      <c r="A529" s="3"/>
      <c r="B529" s="3"/>
      <c r="C529" s="3"/>
      <c r="D529" s="3" t="str">
        <f aca="false">IF($B529="","",IFERROR(LOOKUP(2^15,SEARCH(Rules!$A$2:$A$200&amp;"",$B529)/(Rules!$A$2:$A$200&lt;&gt;""),Rules!$B$2:$B$200),"Uncategorized"))</f>
        <v/>
      </c>
      <c r="E529" s="3" t="str">
        <f aca="false">IF($B529="","",IF($C529&gt;=0,"Income","Expense"))</f>
        <v/>
      </c>
      <c r="F529" s="3" t="str">
        <f aca="false">IF($B529="","",IFERROR(LOOKUP(2^15,SEARCH(Rules!$A$2:$A$200&amp;"",$B529)/(Rules!$A$2:$A$200&lt;&gt;""),Rules!$A$2:$A$200),""))</f>
        <v/>
      </c>
      <c r="G529" s="3" t="str">
        <f aca="false">IF($B529="","",IF(D529="Uncategorized","⚠ Review",IF(IFERROR(LOOKUP(2^15,SEARCH(Rules!$A$2:$A$200&amp;"",$B529)/(Rules!$A$2:$A$200&lt;&gt;""),Rules!$C$2:$C$200),"")&lt;&gt;E529,"⚠ Check sign","OK")))</f>
        <v/>
      </c>
    </row>
    <row r="530" customFormat="false" ht="15" hidden="false" customHeight="false" outlineLevel="0" collapsed="false">
      <c r="A530" s="3"/>
      <c r="B530" s="3"/>
      <c r="C530" s="3"/>
      <c r="D530" s="3" t="str">
        <f aca="false">IF($B530="","",IFERROR(LOOKUP(2^15,SEARCH(Rules!$A$2:$A$200&amp;"",$B530)/(Rules!$A$2:$A$200&lt;&gt;""),Rules!$B$2:$B$200),"Uncategorized"))</f>
        <v/>
      </c>
      <c r="E530" s="3" t="str">
        <f aca="false">IF($B530="","",IF($C530&gt;=0,"Income","Expense"))</f>
        <v/>
      </c>
      <c r="F530" s="3" t="str">
        <f aca="false">IF($B530="","",IFERROR(LOOKUP(2^15,SEARCH(Rules!$A$2:$A$200&amp;"",$B530)/(Rules!$A$2:$A$200&lt;&gt;""),Rules!$A$2:$A$200),""))</f>
        <v/>
      </c>
      <c r="G530" s="3" t="str">
        <f aca="false">IF($B530="","",IF(D530="Uncategorized","⚠ Review",IF(IFERROR(LOOKUP(2^15,SEARCH(Rules!$A$2:$A$200&amp;"",$B530)/(Rules!$A$2:$A$200&lt;&gt;""),Rules!$C$2:$C$200),"")&lt;&gt;E530,"⚠ Check sign","OK")))</f>
        <v/>
      </c>
    </row>
    <row r="531" customFormat="false" ht="15" hidden="false" customHeight="false" outlineLevel="0" collapsed="false">
      <c r="A531" s="3"/>
      <c r="B531" s="3"/>
      <c r="C531" s="3"/>
      <c r="D531" s="3" t="str">
        <f aca="false">IF($B531="","",IFERROR(LOOKUP(2^15,SEARCH(Rules!$A$2:$A$200&amp;"",$B531)/(Rules!$A$2:$A$200&lt;&gt;""),Rules!$B$2:$B$200),"Uncategorized"))</f>
        <v/>
      </c>
      <c r="E531" s="3" t="str">
        <f aca="false">IF($B531="","",IF($C531&gt;=0,"Income","Expense"))</f>
        <v/>
      </c>
      <c r="F531" s="3" t="str">
        <f aca="false">IF($B531="","",IFERROR(LOOKUP(2^15,SEARCH(Rules!$A$2:$A$200&amp;"",$B531)/(Rules!$A$2:$A$200&lt;&gt;""),Rules!$A$2:$A$200),""))</f>
        <v/>
      </c>
      <c r="G531" s="3" t="str">
        <f aca="false">IF($B531="","",IF(D531="Uncategorized","⚠ Review",IF(IFERROR(LOOKUP(2^15,SEARCH(Rules!$A$2:$A$200&amp;"",$B531)/(Rules!$A$2:$A$200&lt;&gt;""),Rules!$C$2:$C$200),"")&lt;&gt;E531,"⚠ Check sign","OK")))</f>
        <v/>
      </c>
    </row>
    <row r="532" customFormat="false" ht="15" hidden="false" customHeight="false" outlineLevel="0" collapsed="false">
      <c r="A532" s="3"/>
      <c r="B532" s="3"/>
      <c r="C532" s="3"/>
      <c r="D532" s="3" t="str">
        <f aca="false">IF($B532="","",IFERROR(LOOKUP(2^15,SEARCH(Rules!$A$2:$A$200&amp;"",$B532)/(Rules!$A$2:$A$200&lt;&gt;""),Rules!$B$2:$B$200),"Uncategorized"))</f>
        <v/>
      </c>
      <c r="E532" s="3" t="str">
        <f aca="false">IF($B532="","",IF($C532&gt;=0,"Income","Expense"))</f>
        <v/>
      </c>
      <c r="F532" s="3" t="str">
        <f aca="false">IF($B532="","",IFERROR(LOOKUP(2^15,SEARCH(Rules!$A$2:$A$200&amp;"",$B532)/(Rules!$A$2:$A$200&lt;&gt;""),Rules!$A$2:$A$200),""))</f>
        <v/>
      </c>
      <c r="G532" s="3" t="str">
        <f aca="false">IF($B532="","",IF(D532="Uncategorized","⚠ Review",IF(IFERROR(LOOKUP(2^15,SEARCH(Rules!$A$2:$A$200&amp;"",$B532)/(Rules!$A$2:$A$200&lt;&gt;""),Rules!$C$2:$C$200),"")&lt;&gt;E532,"⚠ Check sign","OK")))</f>
        <v/>
      </c>
    </row>
    <row r="533" customFormat="false" ht="15" hidden="false" customHeight="false" outlineLevel="0" collapsed="false">
      <c r="A533" s="3"/>
      <c r="B533" s="3"/>
      <c r="C533" s="3"/>
      <c r="D533" s="3" t="str">
        <f aca="false">IF($B533="","",IFERROR(LOOKUP(2^15,SEARCH(Rules!$A$2:$A$200&amp;"",$B533)/(Rules!$A$2:$A$200&lt;&gt;""),Rules!$B$2:$B$200),"Uncategorized"))</f>
        <v/>
      </c>
      <c r="E533" s="3" t="str">
        <f aca="false">IF($B533="","",IF($C533&gt;=0,"Income","Expense"))</f>
        <v/>
      </c>
      <c r="F533" s="3" t="str">
        <f aca="false">IF($B533="","",IFERROR(LOOKUP(2^15,SEARCH(Rules!$A$2:$A$200&amp;"",$B533)/(Rules!$A$2:$A$200&lt;&gt;""),Rules!$A$2:$A$200),""))</f>
        <v/>
      </c>
      <c r="G533" s="3" t="str">
        <f aca="false">IF($B533="","",IF(D533="Uncategorized","⚠ Review",IF(IFERROR(LOOKUP(2^15,SEARCH(Rules!$A$2:$A$200&amp;"",$B533)/(Rules!$A$2:$A$200&lt;&gt;""),Rules!$C$2:$C$200),"")&lt;&gt;E533,"⚠ Check sign","OK")))</f>
        <v/>
      </c>
    </row>
    <row r="534" customFormat="false" ht="15" hidden="false" customHeight="false" outlineLevel="0" collapsed="false">
      <c r="A534" s="3"/>
      <c r="B534" s="3"/>
      <c r="C534" s="3"/>
      <c r="D534" s="3" t="str">
        <f aca="false">IF($B534="","",IFERROR(LOOKUP(2^15,SEARCH(Rules!$A$2:$A$200&amp;"",$B534)/(Rules!$A$2:$A$200&lt;&gt;""),Rules!$B$2:$B$200),"Uncategorized"))</f>
        <v/>
      </c>
      <c r="E534" s="3" t="str">
        <f aca="false">IF($B534="","",IF($C534&gt;=0,"Income","Expense"))</f>
        <v/>
      </c>
      <c r="F534" s="3" t="str">
        <f aca="false">IF($B534="","",IFERROR(LOOKUP(2^15,SEARCH(Rules!$A$2:$A$200&amp;"",$B534)/(Rules!$A$2:$A$200&lt;&gt;""),Rules!$A$2:$A$200),""))</f>
        <v/>
      </c>
      <c r="G534" s="3" t="str">
        <f aca="false">IF($B534="","",IF(D534="Uncategorized","⚠ Review",IF(IFERROR(LOOKUP(2^15,SEARCH(Rules!$A$2:$A$200&amp;"",$B534)/(Rules!$A$2:$A$200&lt;&gt;""),Rules!$C$2:$C$200),"")&lt;&gt;E534,"⚠ Check sign","OK")))</f>
        <v/>
      </c>
    </row>
    <row r="535" customFormat="false" ht="15" hidden="false" customHeight="false" outlineLevel="0" collapsed="false">
      <c r="A535" s="3"/>
      <c r="B535" s="3"/>
      <c r="C535" s="3"/>
      <c r="D535" s="3" t="str">
        <f aca="false">IF($B535="","",IFERROR(LOOKUP(2^15,SEARCH(Rules!$A$2:$A$200&amp;"",$B535)/(Rules!$A$2:$A$200&lt;&gt;""),Rules!$B$2:$B$200),"Uncategorized"))</f>
        <v/>
      </c>
      <c r="E535" s="3" t="str">
        <f aca="false">IF($B535="","",IF($C535&gt;=0,"Income","Expense"))</f>
        <v/>
      </c>
      <c r="F535" s="3" t="str">
        <f aca="false">IF($B535="","",IFERROR(LOOKUP(2^15,SEARCH(Rules!$A$2:$A$200&amp;"",$B535)/(Rules!$A$2:$A$200&lt;&gt;""),Rules!$A$2:$A$200),""))</f>
        <v/>
      </c>
      <c r="G535" s="3" t="str">
        <f aca="false">IF($B535="","",IF(D535="Uncategorized","⚠ Review",IF(IFERROR(LOOKUP(2^15,SEARCH(Rules!$A$2:$A$200&amp;"",$B535)/(Rules!$A$2:$A$200&lt;&gt;""),Rules!$C$2:$C$200),"")&lt;&gt;E535,"⚠ Check sign","OK")))</f>
        <v/>
      </c>
    </row>
    <row r="536" customFormat="false" ht="15" hidden="false" customHeight="false" outlineLevel="0" collapsed="false">
      <c r="A536" s="3"/>
      <c r="B536" s="3"/>
      <c r="C536" s="3"/>
      <c r="D536" s="3" t="str">
        <f aca="false">IF($B536="","",IFERROR(LOOKUP(2^15,SEARCH(Rules!$A$2:$A$200&amp;"",$B536)/(Rules!$A$2:$A$200&lt;&gt;""),Rules!$B$2:$B$200),"Uncategorized"))</f>
        <v/>
      </c>
      <c r="E536" s="3" t="str">
        <f aca="false">IF($B536="","",IF($C536&gt;=0,"Income","Expense"))</f>
        <v/>
      </c>
      <c r="F536" s="3" t="str">
        <f aca="false">IF($B536="","",IFERROR(LOOKUP(2^15,SEARCH(Rules!$A$2:$A$200&amp;"",$B536)/(Rules!$A$2:$A$200&lt;&gt;""),Rules!$A$2:$A$200),""))</f>
        <v/>
      </c>
      <c r="G536" s="3" t="str">
        <f aca="false">IF($B536="","",IF(D536="Uncategorized","⚠ Review",IF(IFERROR(LOOKUP(2^15,SEARCH(Rules!$A$2:$A$200&amp;"",$B536)/(Rules!$A$2:$A$200&lt;&gt;""),Rules!$C$2:$C$200),"")&lt;&gt;E536,"⚠ Check sign","OK")))</f>
        <v/>
      </c>
    </row>
    <row r="537" customFormat="false" ht="15" hidden="false" customHeight="false" outlineLevel="0" collapsed="false">
      <c r="A537" s="3"/>
      <c r="B537" s="3"/>
      <c r="C537" s="3"/>
      <c r="D537" s="3" t="str">
        <f aca="false">IF($B537="","",IFERROR(LOOKUP(2^15,SEARCH(Rules!$A$2:$A$200&amp;"",$B537)/(Rules!$A$2:$A$200&lt;&gt;""),Rules!$B$2:$B$200),"Uncategorized"))</f>
        <v/>
      </c>
      <c r="E537" s="3" t="str">
        <f aca="false">IF($B537="","",IF($C537&gt;=0,"Income","Expense"))</f>
        <v/>
      </c>
      <c r="F537" s="3" t="str">
        <f aca="false">IF($B537="","",IFERROR(LOOKUP(2^15,SEARCH(Rules!$A$2:$A$200&amp;"",$B537)/(Rules!$A$2:$A$200&lt;&gt;""),Rules!$A$2:$A$200),""))</f>
        <v/>
      </c>
      <c r="G537" s="3" t="str">
        <f aca="false">IF($B537="","",IF(D537="Uncategorized","⚠ Review",IF(IFERROR(LOOKUP(2^15,SEARCH(Rules!$A$2:$A$200&amp;"",$B537)/(Rules!$A$2:$A$200&lt;&gt;""),Rules!$C$2:$C$200),"")&lt;&gt;E537,"⚠ Check sign","OK")))</f>
        <v/>
      </c>
    </row>
    <row r="538" customFormat="false" ht="15" hidden="false" customHeight="false" outlineLevel="0" collapsed="false">
      <c r="A538" s="3"/>
      <c r="B538" s="3"/>
      <c r="C538" s="3"/>
      <c r="D538" s="3" t="str">
        <f aca="false">IF($B538="","",IFERROR(LOOKUP(2^15,SEARCH(Rules!$A$2:$A$200&amp;"",$B538)/(Rules!$A$2:$A$200&lt;&gt;""),Rules!$B$2:$B$200),"Uncategorized"))</f>
        <v/>
      </c>
      <c r="E538" s="3" t="str">
        <f aca="false">IF($B538="","",IF($C538&gt;=0,"Income","Expense"))</f>
        <v/>
      </c>
      <c r="F538" s="3" t="str">
        <f aca="false">IF($B538="","",IFERROR(LOOKUP(2^15,SEARCH(Rules!$A$2:$A$200&amp;"",$B538)/(Rules!$A$2:$A$200&lt;&gt;""),Rules!$A$2:$A$200),""))</f>
        <v/>
      </c>
      <c r="G538" s="3" t="str">
        <f aca="false">IF($B538="","",IF(D538="Uncategorized","⚠ Review",IF(IFERROR(LOOKUP(2^15,SEARCH(Rules!$A$2:$A$200&amp;"",$B538)/(Rules!$A$2:$A$200&lt;&gt;""),Rules!$C$2:$C$200),"")&lt;&gt;E538,"⚠ Check sign","OK")))</f>
        <v/>
      </c>
    </row>
    <row r="539" customFormat="false" ht="15" hidden="false" customHeight="false" outlineLevel="0" collapsed="false">
      <c r="A539" s="3"/>
      <c r="B539" s="3"/>
      <c r="C539" s="3"/>
      <c r="D539" s="3" t="str">
        <f aca="false">IF($B539="","",IFERROR(LOOKUP(2^15,SEARCH(Rules!$A$2:$A$200&amp;"",$B539)/(Rules!$A$2:$A$200&lt;&gt;""),Rules!$B$2:$B$200),"Uncategorized"))</f>
        <v/>
      </c>
      <c r="E539" s="3" t="str">
        <f aca="false">IF($B539="","",IF($C539&gt;=0,"Income","Expense"))</f>
        <v/>
      </c>
      <c r="F539" s="3" t="str">
        <f aca="false">IF($B539="","",IFERROR(LOOKUP(2^15,SEARCH(Rules!$A$2:$A$200&amp;"",$B539)/(Rules!$A$2:$A$200&lt;&gt;""),Rules!$A$2:$A$200),""))</f>
        <v/>
      </c>
      <c r="G539" s="3" t="str">
        <f aca="false">IF($B539="","",IF(D539="Uncategorized","⚠ Review",IF(IFERROR(LOOKUP(2^15,SEARCH(Rules!$A$2:$A$200&amp;"",$B539)/(Rules!$A$2:$A$200&lt;&gt;""),Rules!$C$2:$C$200),"")&lt;&gt;E539,"⚠ Check sign","OK")))</f>
        <v/>
      </c>
    </row>
    <row r="540" customFormat="false" ht="15" hidden="false" customHeight="false" outlineLevel="0" collapsed="false">
      <c r="A540" s="3"/>
      <c r="B540" s="3"/>
      <c r="C540" s="3"/>
      <c r="D540" s="3" t="str">
        <f aca="false">IF($B540="","",IFERROR(LOOKUP(2^15,SEARCH(Rules!$A$2:$A$200&amp;"",$B540)/(Rules!$A$2:$A$200&lt;&gt;""),Rules!$B$2:$B$200),"Uncategorized"))</f>
        <v/>
      </c>
      <c r="E540" s="3" t="str">
        <f aca="false">IF($B540="","",IF($C540&gt;=0,"Income","Expense"))</f>
        <v/>
      </c>
      <c r="F540" s="3" t="str">
        <f aca="false">IF($B540="","",IFERROR(LOOKUP(2^15,SEARCH(Rules!$A$2:$A$200&amp;"",$B540)/(Rules!$A$2:$A$200&lt;&gt;""),Rules!$A$2:$A$200),""))</f>
        <v/>
      </c>
      <c r="G540" s="3" t="str">
        <f aca="false">IF($B540="","",IF(D540="Uncategorized","⚠ Review",IF(IFERROR(LOOKUP(2^15,SEARCH(Rules!$A$2:$A$200&amp;"",$B540)/(Rules!$A$2:$A$200&lt;&gt;""),Rules!$C$2:$C$200),"")&lt;&gt;E540,"⚠ Check sign","OK")))</f>
        <v/>
      </c>
    </row>
    <row r="541" customFormat="false" ht="15" hidden="false" customHeight="false" outlineLevel="0" collapsed="false">
      <c r="A541" s="3"/>
      <c r="B541" s="3"/>
      <c r="C541" s="3"/>
      <c r="D541" s="3" t="str">
        <f aca="false">IF($B541="","",IFERROR(LOOKUP(2^15,SEARCH(Rules!$A$2:$A$200&amp;"",$B541)/(Rules!$A$2:$A$200&lt;&gt;""),Rules!$B$2:$B$200),"Uncategorized"))</f>
        <v/>
      </c>
      <c r="E541" s="3" t="str">
        <f aca="false">IF($B541="","",IF($C541&gt;=0,"Income","Expense"))</f>
        <v/>
      </c>
      <c r="F541" s="3" t="str">
        <f aca="false">IF($B541="","",IFERROR(LOOKUP(2^15,SEARCH(Rules!$A$2:$A$200&amp;"",$B541)/(Rules!$A$2:$A$200&lt;&gt;""),Rules!$A$2:$A$200),""))</f>
        <v/>
      </c>
      <c r="G541" s="3" t="str">
        <f aca="false">IF($B541="","",IF(D541="Uncategorized","⚠ Review",IF(IFERROR(LOOKUP(2^15,SEARCH(Rules!$A$2:$A$200&amp;"",$B541)/(Rules!$A$2:$A$200&lt;&gt;""),Rules!$C$2:$C$200),"")&lt;&gt;E541,"⚠ Check sign","OK")))</f>
        <v/>
      </c>
    </row>
    <row r="542" customFormat="false" ht="15" hidden="false" customHeight="false" outlineLevel="0" collapsed="false">
      <c r="A542" s="3"/>
      <c r="B542" s="3"/>
      <c r="C542" s="3"/>
      <c r="D542" s="3" t="str">
        <f aca="false">IF($B542="","",IFERROR(LOOKUP(2^15,SEARCH(Rules!$A$2:$A$200&amp;"",$B542)/(Rules!$A$2:$A$200&lt;&gt;""),Rules!$B$2:$B$200),"Uncategorized"))</f>
        <v/>
      </c>
      <c r="E542" s="3" t="str">
        <f aca="false">IF($B542="","",IF($C542&gt;=0,"Income","Expense"))</f>
        <v/>
      </c>
      <c r="F542" s="3" t="str">
        <f aca="false">IF($B542="","",IFERROR(LOOKUP(2^15,SEARCH(Rules!$A$2:$A$200&amp;"",$B542)/(Rules!$A$2:$A$200&lt;&gt;""),Rules!$A$2:$A$200),""))</f>
        <v/>
      </c>
      <c r="G542" s="3" t="str">
        <f aca="false">IF($B542="","",IF(D542="Uncategorized","⚠ Review",IF(IFERROR(LOOKUP(2^15,SEARCH(Rules!$A$2:$A$200&amp;"",$B542)/(Rules!$A$2:$A$200&lt;&gt;""),Rules!$C$2:$C$200),"")&lt;&gt;E542,"⚠ Check sign","OK")))</f>
        <v/>
      </c>
    </row>
    <row r="543" customFormat="false" ht="15" hidden="false" customHeight="false" outlineLevel="0" collapsed="false">
      <c r="A543" s="3"/>
      <c r="B543" s="3"/>
      <c r="C543" s="3"/>
      <c r="D543" s="3" t="str">
        <f aca="false">IF($B543="","",IFERROR(LOOKUP(2^15,SEARCH(Rules!$A$2:$A$200&amp;"",$B543)/(Rules!$A$2:$A$200&lt;&gt;""),Rules!$B$2:$B$200),"Uncategorized"))</f>
        <v/>
      </c>
      <c r="E543" s="3" t="str">
        <f aca="false">IF($B543="","",IF($C543&gt;=0,"Income","Expense"))</f>
        <v/>
      </c>
      <c r="F543" s="3" t="str">
        <f aca="false">IF($B543="","",IFERROR(LOOKUP(2^15,SEARCH(Rules!$A$2:$A$200&amp;"",$B543)/(Rules!$A$2:$A$200&lt;&gt;""),Rules!$A$2:$A$200),""))</f>
        <v/>
      </c>
      <c r="G543" s="3" t="str">
        <f aca="false">IF($B543="","",IF(D543="Uncategorized","⚠ Review",IF(IFERROR(LOOKUP(2^15,SEARCH(Rules!$A$2:$A$200&amp;"",$B543)/(Rules!$A$2:$A$200&lt;&gt;""),Rules!$C$2:$C$200),"")&lt;&gt;E543,"⚠ Check sign","OK")))</f>
        <v/>
      </c>
    </row>
    <row r="544" customFormat="false" ht="15" hidden="false" customHeight="false" outlineLevel="0" collapsed="false">
      <c r="A544" s="3"/>
      <c r="B544" s="3"/>
      <c r="C544" s="3"/>
      <c r="D544" s="3" t="str">
        <f aca="false">IF($B544="","",IFERROR(LOOKUP(2^15,SEARCH(Rules!$A$2:$A$200&amp;"",$B544)/(Rules!$A$2:$A$200&lt;&gt;""),Rules!$B$2:$B$200),"Uncategorized"))</f>
        <v/>
      </c>
      <c r="E544" s="3" t="str">
        <f aca="false">IF($B544="","",IF($C544&gt;=0,"Income","Expense"))</f>
        <v/>
      </c>
      <c r="F544" s="3" t="str">
        <f aca="false">IF($B544="","",IFERROR(LOOKUP(2^15,SEARCH(Rules!$A$2:$A$200&amp;"",$B544)/(Rules!$A$2:$A$200&lt;&gt;""),Rules!$A$2:$A$200),""))</f>
        <v/>
      </c>
      <c r="G544" s="3" t="str">
        <f aca="false">IF($B544="","",IF(D544="Uncategorized","⚠ Review",IF(IFERROR(LOOKUP(2^15,SEARCH(Rules!$A$2:$A$200&amp;"",$B544)/(Rules!$A$2:$A$200&lt;&gt;""),Rules!$C$2:$C$200),"")&lt;&gt;E544,"⚠ Check sign","OK")))</f>
        <v/>
      </c>
    </row>
    <row r="545" customFormat="false" ht="15" hidden="false" customHeight="false" outlineLevel="0" collapsed="false">
      <c r="A545" s="3"/>
      <c r="B545" s="3"/>
      <c r="C545" s="3"/>
      <c r="D545" s="3" t="str">
        <f aca="false">IF($B545="","",IFERROR(LOOKUP(2^15,SEARCH(Rules!$A$2:$A$200&amp;"",$B545)/(Rules!$A$2:$A$200&lt;&gt;""),Rules!$B$2:$B$200),"Uncategorized"))</f>
        <v/>
      </c>
      <c r="E545" s="3" t="str">
        <f aca="false">IF($B545="","",IF($C545&gt;=0,"Income","Expense"))</f>
        <v/>
      </c>
      <c r="F545" s="3" t="str">
        <f aca="false">IF($B545="","",IFERROR(LOOKUP(2^15,SEARCH(Rules!$A$2:$A$200&amp;"",$B545)/(Rules!$A$2:$A$200&lt;&gt;""),Rules!$A$2:$A$200),""))</f>
        <v/>
      </c>
      <c r="G545" s="3" t="str">
        <f aca="false">IF($B545="","",IF(D545="Uncategorized","⚠ Review",IF(IFERROR(LOOKUP(2^15,SEARCH(Rules!$A$2:$A$200&amp;"",$B545)/(Rules!$A$2:$A$200&lt;&gt;""),Rules!$C$2:$C$200),"")&lt;&gt;E545,"⚠ Check sign","OK")))</f>
        <v/>
      </c>
    </row>
    <row r="546" customFormat="false" ht="15" hidden="false" customHeight="false" outlineLevel="0" collapsed="false">
      <c r="A546" s="3"/>
      <c r="B546" s="3"/>
      <c r="C546" s="3"/>
      <c r="D546" s="3" t="str">
        <f aca="false">IF($B546="","",IFERROR(LOOKUP(2^15,SEARCH(Rules!$A$2:$A$200&amp;"",$B546)/(Rules!$A$2:$A$200&lt;&gt;""),Rules!$B$2:$B$200),"Uncategorized"))</f>
        <v/>
      </c>
      <c r="E546" s="3" t="str">
        <f aca="false">IF($B546="","",IF($C546&gt;=0,"Income","Expense"))</f>
        <v/>
      </c>
      <c r="F546" s="3" t="str">
        <f aca="false">IF($B546="","",IFERROR(LOOKUP(2^15,SEARCH(Rules!$A$2:$A$200&amp;"",$B546)/(Rules!$A$2:$A$200&lt;&gt;""),Rules!$A$2:$A$200),""))</f>
        <v/>
      </c>
      <c r="G546" s="3" t="str">
        <f aca="false">IF($B546="","",IF(D546="Uncategorized","⚠ Review",IF(IFERROR(LOOKUP(2^15,SEARCH(Rules!$A$2:$A$200&amp;"",$B546)/(Rules!$A$2:$A$200&lt;&gt;""),Rules!$C$2:$C$200),"")&lt;&gt;E546,"⚠ Check sign","OK")))</f>
        <v/>
      </c>
    </row>
    <row r="547" customFormat="false" ht="15" hidden="false" customHeight="false" outlineLevel="0" collapsed="false">
      <c r="A547" s="3"/>
      <c r="B547" s="3"/>
      <c r="C547" s="3"/>
      <c r="D547" s="3" t="str">
        <f aca="false">IF($B547="","",IFERROR(LOOKUP(2^15,SEARCH(Rules!$A$2:$A$200&amp;"",$B547)/(Rules!$A$2:$A$200&lt;&gt;""),Rules!$B$2:$B$200),"Uncategorized"))</f>
        <v/>
      </c>
      <c r="E547" s="3" t="str">
        <f aca="false">IF($B547="","",IF($C547&gt;=0,"Income","Expense"))</f>
        <v/>
      </c>
      <c r="F547" s="3" t="str">
        <f aca="false">IF($B547="","",IFERROR(LOOKUP(2^15,SEARCH(Rules!$A$2:$A$200&amp;"",$B547)/(Rules!$A$2:$A$200&lt;&gt;""),Rules!$A$2:$A$200),""))</f>
        <v/>
      </c>
      <c r="G547" s="3" t="str">
        <f aca="false">IF($B547="","",IF(D547="Uncategorized","⚠ Review",IF(IFERROR(LOOKUP(2^15,SEARCH(Rules!$A$2:$A$200&amp;"",$B547)/(Rules!$A$2:$A$200&lt;&gt;""),Rules!$C$2:$C$200),"")&lt;&gt;E547,"⚠ Check sign","OK")))</f>
        <v/>
      </c>
    </row>
    <row r="548" customFormat="false" ht="15" hidden="false" customHeight="false" outlineLevel="0" collapsed="false">
      <c r="A548" s="3"/>
      <c r="B548" s="3"/>
      <c r="C548" s="3"/>
      <c r="D548" s="3" t="str">
        <f aca="false">IF($B548="","",IFERROR(LOOKUP(2^15,SEARCH(Rules!$A$2:$A$200&amp;"",$B548)/(Rules!$A$2:$A$200&lt;&gt;""),Rules!$B$2:$B$200),"Uncategorized"))</f>
        <v/>
      </c>
      <c r="E548" s="3" t="str">
        <f aca="false">IF($B548="","",IF($C548&gt;=0,"Income","Expense"))</f>
        <v/>
      </c>
      <c r="F548" s="3" t="str">
        <f aca="false">IF($B548="","",IFERROR(LOOKUP(2^15,SEARCH(Rules!$A$2:$A$200&amp;"",$B548)/(Rules!$A$2:$A$200&lt;&gt;""),Rules!$A$2:$A$200),""))</f>
        <v/>
      </c>
      <c r="G548" s="3" t="str">
        <f aca="false">IF($B548="","",IF(D548="Uncategorized","⚠ Review",IF(IFERROR(LOOKUP(2^15,SEARCH(Rules!$A$2:$A$200&amp;"",$B548)/(Rules!$A$2:$A$200&lt;&gt;""),Rules!$C$2:$C$200),"")&lt;&gt;E548,"⚠ Check sign","OK")))</f>
        <v/>
      </c>
    </row>
    <row r="549" customFormat="false" ht="15" hidden="false" customHeight="false" outlineLevel="0" collapsed="false">
      <c r="A549" s="3"/>
      <c r="B549" s="3"/>
      <c r="C549" s="3"/>
      <c r="D549" s="3" t="str">
        <f aca="false">IF($B549="","",IFERROR(LOOKUP(2^15,SEARCH(Rules!$A$2:$A$200&amp;"",$B549)/(Rules!$A$2:$A$200&lt;&gt;""),Rules!$B$2:$B$200),"Uncategorized"))</f>
        <v/>
      </c>
      <c r="E549" s="3" t="str">
        <f aca="false">IF($B549="","",IF($C549&gt;=0,"Income","Expense"))</f>
        <v/>
      </c>
      <c r="F549" s="3" t="str">
        <f aca="false">IF($B549="","",IFERROR(LOOKUP(2^15,SEARCH(Rules!$A$2:$A$200&amp;"",$B549)/(Rules!$A$2:$A$200&lt;&gt;""),Rules!$A$2:$A$200),""))</f>
        <v/>
      </c>
      <c r="G549" s="3" t="str">
        <f aca="false">IF($B549="","",IF(D549="Uncategorized","⚠ Review",IF(IFERROR(LOOKUP(2^15,SEARCH(Rules!$A$2:$A$200&amp;"",$B549)/(Rules!$A$2:$A$200&lt;&gt;""),Rules!$C$2:$C$200),"")&lt;&gt;E549,"⚠ Check sign","OK")))</f>
        <v/>
      </c>
    </row>
    <row r="550" customFormat="false" ht="15" hidden="false" customHeight="false" outlineLevel="0" collapsed="false">
      <c r="A550" s="3"/>
      <c r="B550" s="3"/>
      <c r="C550" s="3"/>
      <c r="D550" s="3" t="str">
        <f aca="false">IF($B550="","",IFERROR(LOOKUP(2^15,SEARCH(Rules!$A$2:$A$200&amp;"",$B550)/(Rules!$A$2:$A$200&lt;&gt;""),Rules!$B$2:$B$200),"Uncategorized"))</f>
        <v/>
      </c>
      <c r="E550" s="3" t="str">
        <f aca="false">IF($B550="","",IF($C550&gt;=0,"Income","Expense"))</f>
        <v/>
      </c>
      <c r="F550" s="3" t="str">
        <f aca="false">IF($B550="","",IFERROR(LOOKUP(2^15,SEARCH(Rules!$A$2:$A$200&amp;"",$B550)/(Rules!$A$2:$A$200&lt;&gt;""),Rules!$A$2:$A$200),""))</f>
        <v/>
      </c>
      <c r="G550" s="3" t="str">
        <f aca="false">IF($B550="","",IF(D550="Uncategorized","⚠ Review",IF(IFERROR(LOOKUP(2^15,SEARCH(Rules!$A$2:$A$200&amp;"",$B550)/(Rules!$A$2:$A$200&lt;&gt;""),Rules!$C$2:$C$200),"")&lt;&gt;E550,"⚠ Check sign","OK")))</f>
        <v/>
      </c>
    </row>
    <row r="551" customFormat="false" ht="15" hidden="false" customHeight="false" outlineLevel="0" collapsed="false">
      <c r="A551" s="3"/>
      <c r="B551" s="3"/>
      <c r="C551" s="3"/>
      <c r="D551" s="3" t="str">
        <f aca="false">IF($B551="","",IFERROR(LOOKUP(2^15,SEARCH(Rules!$A$2:$A$200&amp;"",$B551)/(Rules!$A$2:$A$200&lt;&gt;""),Rules!$B$2:$B$200),"Uncategorized"))</f>
        <v/>
      </c>
      <c r="E551" s="3" t="str">
        <f aca="false">IF($B551="","",IF($C551&gt;=0,"Income","Expense"))</f>
        <v/>
      </c>
      <c r="F551" s="3" t="str">
        <f aca="false">IF($B551="","",IFERROR(LOOKUP(2^15,SEARCH(Rules!$A$2:$A$200&amp;"",$B551)/(Rules!$A$2:$A$200&lt;&gt;""),Rules!$A$2:$A$200),""))</f>
        <v/>
      </c>
      <c r="G551" s="3" t="str">
        <f aca="false">IF($B551="","",IF(D551="Uncategorized","⚠ Review",IF(IFERROR(LOOKUP(2^15,SEARCH(Rules!$A$2:$A$200&amp;"",$B551)/(Rules!$A$2:$A$200&lt;&gt;""),Rules!$C$2:$C$200),"")&lt;&gt;E551,"⚠ Check sign","OK")))</f>
        <v/>
      </c>
    </row>
    <row r="552" customFormat="false" ht="15" hidden="false" customHeight="false" outlineLevel="0" collapsed="false">
      <c r="A552" s="3"/>
      <c r="B552" s="3"/>
      <c r="C552" s="3"/>
      <c r="D552" s="3" t="str">
        <f aca="false">IF($B552="","",IFERROR(LOOKUP(2^15,SEARCH(Rules!$A$2:$A$200&amp;"",$B552)/(Rules!$A$2:$A$200&lt;&gt;""),Rules!$B$2:$B$200),"Uncategorized"))</f>
        <v/>
      </c>
      <c r="E552" s="3" t="str">
        <f aca="false">IF($B552="","",IF($C552&gt;=0,"Income","Expense"))</f>
        <v/>
      </c>
      <c r="F552" s="3" t="str">
        <f aca="false">IF($B552="","",IFERROR(LOOKUP(2^15,SEARCH(Rules!$A$2:$A$200&amp;"",$B552)/(Rules!$A$2:$A$200&lt;&gt;""),Rules!$A$2:$A$200),""))</f>
        <v/>
      </c>
      <c r="G552" s="3" t="str">
        <f aca="false">IF($B552="","",IF(D552="Uncategorized","⚠ Review",IF(IFERROR(LOOKUP(2^15,SEARCH(Rules!$A$2:$A$200&amp;"",$B552)/(Rules!$A$2:$A$200&lt;&gt;""),Rules!$C$2:$C$200),"")&lt;&gt;E552,"⚠ Check sign","OK")))</f>
        <v/>
      </c>
    </row>
    <row r="553" customFormat="false" ht="15" hidden="false" customHeight="false" outlineLevel="0" collapsed="false">
      <c r="A553" s="3"/>
      <c r="B553" s="3"/>
      <c r="C553" s="3"/>
      <c r="D553" s="3" t="str">
        <f aca="false">IF($B553="","",IFERROR(LOOKUP(2^15,SEARCH(Rules!$A$2:$A$200&amp;"",$B553)/(Rules!$A$2:$A$200&lt;&gt;""),Rules!$B$2:$B$200),"Uncategorized"))</f>
        <v/>
      </c>
      <c r="E553" s="3" t="str">
        <f aca="false">IF($B553="","",IF($C553&gt;=0,"Income","Expense"))</f>
        <v/>
      </c>
      <c r="F553" s="3" t="str">
        <f aca="false">IF($B553="","",IFERROR(LOOKUP(2^15,SEARCH(Rules!$A$2:$A$200&amp;"",$B553)/(Rules!$A$2:$A$200&lt;&gt;""),Rules!$A$2:$A$200),""))</f>
        <v/>
      </c>
      <c r="G553" s="3" t="str">
        <f aca="false">IF($B553="","",IF(D553="Uncategorized","⚠ Review",IF(IFERROR(LOOKUP(2^15,SEARCH(Rules!$A$2:$A$200&amp;"",$B553)/(Rules!$A$2:$A$200&lt;&gt;""),Rules!$C$2:$C$200),"")&lt;&gt;E553,"⚠ Check sign","OK")))</f>
        <v/>
      </c>
    </row>
    <row r="554" customFormat="false" ht="15" hidden="false" customHeight="false" outlineLevel="0" collapsed="false">
      <c r="A554" s="3"/>
      <c r="B554" s="3"/>
      <c r="C554" s="3"/>
      <c r="D554" s="3" t="str">
        <f aca="false">IF($B554="","",IFERROR(LOOKUP(2^15,SEARCH(Rules!$A$2:$A$200&amp;"",$B554)/(Rules!$A$2:$A$200&lt;&gt;""),Rules!$B$2:$B$200),"Uncategorized"))</f>
        <v/>
      </c>
      <c r="E554" s="3" t="str">
        <f aca="false">IF($B554="","",IF($C554&gt;=0,"Income","Expense"))</f>
        <v/>
      </c>
      <c r="F554" s="3" t="str">
        <f aca="false">IF($B554="","",IFERROR(LOOKUP(2^15,SEARCH(Rules!$A$2:$A$200&amp;"",$B554)/(Rules!$A$2:$A$200&lt;&gt;""),Rules!$A$2:$A$200),""))</f>
        <v/>
      </c>
      <c r="G554" s="3" t="str">
        <f aca="false">IF($B554="","",IF(D554="Uncategorized","⚠ Review",IF(IFERROR(LOOKUP(2^15,SEARCH(Rules!$A$2:$A$200&amp;"",$B554)/(Rules!$A$2:$A$200&lt;&gt;""),Rules!$C$2:$C$200),"")&lt;&gt;E554,"⚠ Check sign","OK")))</f>
        <v/>
      </c>
    </row>
    <row r="555" customFormat="false" ht="15" hidden="false" customHeight="false" outlineLevel="0" collapsed="false">
      <c r="A555" s="3"/>
      <c r="B555" s="3"/>
      <c r="C555" s="3"/>
      <c r="D555" s="3" t="str">
        <f aca="false">IF($B555="","",IFERROR(LOOKUP(2^15,SEARCH(Rules!$A$2:$A$200&amp;"",$B555)/(Rules!$A$2:$A$200&lt;&gt;""),Rules!$B$2:$B$200),"Uncategorized"))</f>
        <v/>
      </c>
      <c r="E555" s="3" t="str">
        <f aca="false">IF($B555="","",IF($C555&gt;=0,"Income","Expense"))</f>
        <v/>
      </c>
      <c r="F555" s="3" t="str">
        <f aca="false">IF($B555="","",IFERROR(LOOKUP(2^15,SEARCH(Rules!$A$2:$A$200&amp;"",$B555)/(Rules!$A$2:$A$200&lt;&gt;""),Rules!$A$2:$A$200),""))</f>
        <v/>
      </c>
      <c r="G555" s="3" t="str">
        <f aca="false">IF($B555="","",IF(D555="Uncategorized","⚠ Review",IF(IFERROR(LOOKUP(2^15,SEARCH(Rules!$A$2:$A$200&amp;"",$B555)/(Rules!$A$2:$A$200&lt;&gt;""),Rules!$C$2:$C$200),"")&lt;&gt;E555,"⚠ Check sign","OK")))</f>
        <v/>
      </c>
    </row>
    <row r="556" customFormat="false" ht="15" hidden="false" customHeight="false" outlineLevel="0" collapsed="false">
      <c r="A556" s="3"/>
      <c r="B556" s="3"/>
      <c r="C556" s="3"/>
      <c r="D556" s="3" t="str">
        <f aca="false">IF($B556="","",IFERROR(LOOKUP(2^15,SEARCH(Rules!$A$2:$A$200&amp;"",$B556)/(Rules!$A$2:$A$200&lt;&gt;""),Rules!$B$2:$B$200),"Uncategorized"))</f>
        <v/>
      </c>
      <c r="E556" s="3" t="str">
        <f aca="false">IF($B556="","",IF($C556&gt;=0,"Income","Expense"))</f>
        <v/>
      </c>
      <c r="F556" s="3" t="str">
        <f aca="false">IF($B556="","",IFERROR(LOOKUP(2^15,SEARCH(Rules!$A$2:$A$200&amp;"",$B556)/(Rules!$A$2:$A$200&lt;&gt;""),Rules!$A$2:$A$200),""))</f>
        <v/>
      </c>
      <c r="G556" s="3" t="str">
        <f aca="false">IF($B556="","",IF(D556="Uncategorized","⚠ Review",IF(IFERROR(LOOKUP(2^15,SEARCH(Rules!$A$2:$A$200&amp;"",$B556)/(Rules!$A$2:$A$200&lt;&gt;""),Rules!$C$2:$C$200),"")&lt;&gt;E556,"⚠ Check sign","OK")))</f>
        <v/>
      </c>
    </row>
    <row r="557" customFormat="false" ht="15" hidden="false" customHeight="false" outlineLevel="0" collapsed="false">
      <c r="A557" s="3"/>
      <c r="B557" s="3"/>
      <c r="C557" s="3"/>
      <c r="D557" s="3" t="str">
        <f aca="false">IF($B557="","",IFERROR(LOOKUP(2^15,SEARCH(Rules!$A$2:$A$200&amp;"",$B557)/(Rules!$A$2:$A$200&lt;&gt;""),Rules!$B$2:$B$200),"Uncategorized"))</f>
        <v/>
      </c>
      <c r="E557" s="3" t="str">
        <f aca="false">IF($B557="","",IF($C557&gt;=0,"Income","Expense"))</f>
        <v/>
      </c>
      <c r="F557" s="3" t="str">
        <f aca="false">IF($B557="","",IFERROR(LOOKUP(2^15,SEARCH(Rules!$A$2:$A$200&amp;"",$B557)/(Rules!$A$2:$A$200&lt;&gt;""),Rules!$A$2:$A$200),""))</f>
        <v/>
      </c>
      <c r="G557" s="3" t="str">
        <f aca="false">IF($B557="","",IF(D557="Uncategorized","⚠ Review",IF(IFERROR(LOOKUP(2^15,SEARCH(Rules!$A$2:$A$200&amp;"",$B557)/(Rules!$A$2:$A$200&lt;&gt;""),Rules!$C$2:$C$200),"")&lt;&gt;E557,"⚠ Check sign","OK")))</f>
        <v/>
      </c>
    </row>
    <row r="558" customFormat="false" ht="15" hidden="false" customHeight="false" outlineLevel="0" collapsed="false">
      <c r="A558" s="3"/>
      <c r="B558" s="3"/>
      <c r="C558" s="3"/>
      <c r="D558" s="3" t="str">
        <f aca="false">IF($B558="","",IFERROR(LOOKUP(2^15,SEARCH(Rules!$A$2:$A$200&amp;"",$B558)/(Rules!$A$2:$A$200&lt;&gt;""),Rules!$B$2:$B$200),"Uncategorized"))</f>
        <v/>
      </c>
      <c r="E558" s="3" t="str">
        <f aca="false">IF($B558="","",IF($C558&gt;=0,"Income","Expense"))</f>
        <v/>
      </c>
      <c r="F558" s="3" t="str">
        <f aca="false">IF($B558="","",IFERROR(LOOKUP(2^15,SEARCH(Rules!$A$2:$A$200&amp;"",$B558)/(Rules!$A$2:$A$200&lt;&gt;""),Rules!$A$2:$A$200),""))</f>
        <v/>
      </c>
      <c r="G558" s="3" t="str">
        <f aca="false">IF($B558="","",IF(D558="Uncategorized","⚠ Review",IF(IFERROR(LOOKUP(2^15,SEARCH(Rules!$A$2:$A$200&amp;"",$B558)/(Rules!$A$2:$A$200&lt;&gt;""),Rules!$C$2:$C$200),"")&lt;&gt;E558,"⚠ Check sign","OK")))</f>
        <v/>
      </c>
    </row>
    <row r="559" customFormat="false" ht="15" hidden="false" customHeight="false" outlineLevel="0" collapsed="false">
      <c r="A559" s="3"/>
      <c r="B559" s="3"/>
      <c r="C559" s="3"/>
      <c r="D559" s="3" t="str">
        <f aca="false">IF($B559="","",IFERROR(LOOKUP(2^15,SEARCH(Rules!$A$2:$A$200&amp;"",$B559)/(Rules!$A$2:$A$200&lt;&gt;""),Rules!$B$2:$B$200),"Uncategorized"))</f>
        <v/>
      </c>
      <c r="E559" s="3" t="str">
        <f aca="false">IF($B559="","",IF($C559&gt;=0,"Income","Expense"))</f>
        <v/>
      </c>
      <c r="F559" s="3" t="str">
        <f aca="false">IF($B559="","",IFERROR(LOOKUP(2^15,SEARCH(Rules!$A$2:$A$200&amp;"",$B559)/(Rules!$A$2:$A$200&lt;&gt;""),Rules!$A$2:$A$200),""))</f>
        <v/>
      </c>
      <c r="G559" s="3" t="str">
        <f aca="false">IF($B559="","",IF(D559="Uncategorized","⚠ Review",IF(IFERROR(LOOKUP(2^15,SEARCH(Rules!$A$2:$A$200&amp;"",$B559)/(Rules!$A$2:$A$200&lt;&gt;""),Rules!$C$2:$C$200),"")&lt;&gt;E559,"⚠ Check sign","OK")))</f>
        <v/>
      </c>
    </row>
    <row r="560" customFormat="false" ht="15" hidden="false" customHeight="false" outlineLevel="0" collapsed="false">
      <c r="A560" s="3"/>
      <c r="B560" s="3"/>
      <c r="C560" s="3"/>
      <c r="D560" s="3" t="str">
        <f aca="false">IF($B560="","",IFERROR(LOOKUP(2^15,SEARCH(Rules!$A$2:$A$200&amp;"",$B560)/(Rules!$A$2:$A$200&lt;&gt;""),Rules!$B$2:$B$200),"Uncategorized"))</f>
        <v/>
      </c>
      <c r="E560" s="3" t="str">
        <f aca="false">IF($B560="","",IF($C560&gt;=0,"Income","Expense"))</f>
        <v/>
      </c>
      <c r="F560" s="3" t="str">
        <f aca="false">IF($B560="","",IFERROR(LOOKUP(2^15,SEARCH(Rules!$A$2:$A$200&amp;"",$B560)/(Rules!$A$2:$A$200&lt;&gt;""),Rules!$A$2:$A$200),""))</f>
        <v/>
      </c>
      <c r="G560" s="3" t="str">
        <f aca="false">IF($B560="","",IF(D560="Uncategorized","⚠ Review",IF(IFERROR(LOOKUP(2^15,SEARCH(Rules!$A$2:$A$200&amp;"",$B560)/(Rules!$A$2:$A$200&lt;&gt;""),Rules!$C$2:$C$200),"")&lt;&gt;E560,"⚠ Check sign","OK")))</f>
        <v/>
      </c>
    </row>
    <row r="561" customFormat="false" ht="15" hidden="false" customHeight="false" outlineLevel="0" collapsed="false">
      <c r="A561" s="3"/>
      <c r="B561" s="3"/>
      <c r="C561" s="3"/>
      <c r="D561" s="3" t="str">
        <f aca="false">IF($B561="","",IFERROR(LOOKUP(2^15,SEARCH(Rules!$A$2:$A$200&amp;"",$B561)/(Rules!$A$2:$A$200&lt;&gt;""),Rules!$B$2:$B$200),"Uncategorized"))</f>
        <v/>
      </c>
      <c r="E561" s="3" t="str">
        <f aca="false">IF($B561="","",IF($C561&gt;=0,"Income","Expense"))</f>
        <v/>
      </c>
      <c r="F561" s="3" t="str">
        <f aca="false">IF($B561="","",IFERROR(LOOKUP(2^15,SEARCH(Rules!$A$2:$A$200&amp;"",$B561)/(Rules!$A$2:$A$200&lt;&gt;""),Rules!$A$2:$A$200),""))</f>
        <v/>
      </c>
      <c r="G561" s="3" t="str">
        <f aca="false">IF($B561="","",IF(D561="Uncategorized","⚠ Review",IF(IFERROR(LOOKUP(2^15,SEARCH(Rules!$A$2:$A$200&amp;"",$B561)/(Rules!$A$2:$A$200&lt;&gt;""),Rules!$C$2:$C$200),"")&lt;&gt;E561,"⚠ Check sign","OK")))</f>
        <v/>
      </c>
    </row>
    <row r="562" customFormat="false" ht="15" hidden="false" customHeight="false" outlineLevel="0" collapsed="false">
      <c r="A562" s="3"/>
      <c r="B562" s="3"/>
      <c r="C562" s="3"/>
      <c r="D562" s="3" t="str">
        <f aca="false">IF($B562="","",IFERROR(LOOKUP(2^15,SEARCH(Rules!$A$2:$A$200&amp;"",$B562)/(Rules!$A$2:$A$200&lt;&gt;""),Rules!$B$2:$B$200),"Uncategorized"))</f>
        <v/>
      </c>
      <c r="E562" s="3" t="str">
        <f aca="false">IF($B562="","",IF($C562&gt;=0,"Income","Expense"))</f>
        <v/>
      </c>
      <c r="F562" s="3" t="str">
        <f aca="false">IF($B562="","",IFERROR(LOOKUP(2^15,SEARCH(Rules!$A$2:$A$200&amp;"",$B562)/(Rules!$A$2:$A$200&lt;&gt;""),Rules!$A$2:$A$200),""))</f>
        <v/>
      </c>
      <c r="G562" s="3" t="str">
        <f aca="false">IF($B562="","",IF(D562="Uncategorized","⚠ Review",IF(IFERROR(LOOKUP(2^15,SEARCH(Rules!$A$2:$A$200&amp;"",$B562)/(Rules!$A$2:$A$200&lt;&gt;""),Rules!$C$2:$C$200),"")&lt;&gt;E562,"⚠ Check sign","OK")))</f>
        <v/>
      </c>
    </row>
    <row r="563" customFormat="false" ht="15" hidden="false" customHeight="false" outlineLevel="0" collapsed="false">
      <c r="A563" s="3"/>
      <c r="B563" s="3"/>
      <c r="C563" s="3"/>
      <c r="D563" s="3" t="str">
        <f aca="false">IF($B563="","",IFERROR(LOOKUP(2^15,SEARCH(Rules!$A$2:$A$200&amp;"",$B563)/(Rules!$A$2:$A$200&lt;&gt;""),Rules!$B$2:$B$200),"Uncategorized"))</f>
        <v/>
      </c>
      <c r="E563" s="3" t="str">
        <f aca="false">IF($B563="","",IF($C563&gt;=0,"Income","Expense"))</f>
        <v/>
      </c>
      <c r="F563" s="3" t="str">
        <f aca="false">IF($B563="","",IFERROR(LOOKUP(2^15,SEARCH(Rules!$A$2:$A$200&amp;"",$B563)/(Rules!$A$2:$A$200&lt;&gt;""),Rules!$A$2:$A$200),""))</f>
        <v/>
      </c>
      <c r="G563" s="3" t="str">
        <f aca="false">IF($B563="","",IF(D563="Uncategorized","⚠ Review",IF(IFERROR(LOOKUP(2^15,SEARCH(Rules!$A$2:$A$200&amp;"",$B563)/(Rules!$A$2:$A$200&lt;&gt;""),Rules!$C$2:$C$200),"")&lt;&gt;E563,"⚠ Check sign","OK")))</f>
        <v/>
      </c>
    </row>
    <row r="564" customFormat="false" ht="15" hidden="false" customHeight="false" outlineLevel="0" collapsed="false">
      <c r="A564" s="3"/>
      <c r="B564" s="3"/>
      <c r="C564" s="3"/>
      <c r="D564" s="3" t="str">
        <f aca="false">IF($B564="","",IFERROR(LOOKUP(2^15,SEARCH(Rules!$A$2:$A$200&amp;"",$B564)/(Rules!$A$2:$A$200&lt;&gt;""),Rules!$B$2:$B$200),"Uncategorized"))</f>
        <v/>
      </c>
      <c r="E564" s="3" t="str">
        <f aca="false">IF($B564="","",IF($C564&gt;=0,"Income","Expense"))</f>
        <v/>
      </c>
      <c r="F564" s="3" t="str">
        <f aca="false">IF($B564="","",IFERROR(LOOKUP(2^15,SEARCH(Rules!$A$2:$A$200&amp;"",$B564)/(Rules!$A$2:$A$200&lt;&gt;""),Rules!$A$2:$A$200),""))</f>
        <v/>
      </c>
      <c r="G564" s="3" t="str">
        <f aca="false">IF($B564="","",IF(D564="Uncategorized","⚠ Review",IF(IFERROR(LOOKUP(2^15,SEARCH(Rules!$A$2:$A$200&amp;"",$B564)/(Rules!$A$2:$A$200&lt;&gt;""),Rules!$C$2:$C$200),"")&lt;&gt;E564,"⚠ Check sign","OK")))</f>
        <v/>
      </c>
    </row>
    <row r="565" customFormat="false" ht="15" hidden="false" customHeight="false" outlineLevel="0" collapsed="false">
      <c r="A565" s="3"/>
      <c r="B565" s="3"/>
      <c r="C565" s="3"/>
      <c r="D565" s="3" t="str">
        <f aca="false">IF($B565="","",IFERROR(LOOKUP(2^15,SEARCH(Rules!$A$2:$A$200&amp;"",$B565)/(Rules!$A$2:$A$200&lt;&gt;""),Rules!$B$2:$B$200),"Uncategorized"))</f>
        <v/>
      </c>
      <c r="E565" s="3" t="str">
        <f aca="false">IF($B565="","",IF($C565&gt;=0,"Income","Expense"))</f>
        <v/>
      </c>
      <c r="F565" s="3" t="str">
        <f aca="false">IF($B565="","",IFERROR(LOOKUP(2^15,SEARCH(Rules!$A$2:$A$200&amp;"",$B565)/(Rules!$A$2:$A$200&lt;&gt;""),Rules!$A$2:$A$200),""))</f>
        <v/>
      </c>
      <c r="G565" s="3" t="str">
        <f aca="false">IF($B565="","",IF(D565="Uncategorized","⚠ Review",IF(IFERROR(LOOKUP(2^15,SEARCH(Rules!$A$2:$A$200&amp;"",$B565)/(Rules!$A$2:$A$200&lt;&gt;""),Rules!$C$2:$C$200),"")&lt;&gt;E565,"⚠ Check sign","OK")))</f>
        <v/>
      </c>
    </row>
    <row r="566" customFormat="false" ht="15" hidden="false" customHeight="false" outlineLevel="0" collapsed="false">
      <c r="A566" s="3"/>
      <c r="B566" s="3"/>
      <c r="C566" s="3"/>
      <c r="D566" s="3" t="str">
        <f aca="false">IF($B566="","",IFERROR(LOOKUP(2^15,SEARCH(Rules!$A$2:$A$200&amp;"",$B566)/(Rules!$A$2:$A$200&lt;&gt;""),Rules!$B$2:$B$200),"Uncategorized"))</f>
        <v/>
      </c>
      <c r="E566" s="3" t="str">
        <f aca="false">IF($B566="","",IF($C566&gt;=0,"Income","Expense"))</f>
        <v/>
      </c>
      <c r="F566" s="3" t="str">
        <f aca="false">IF($B566="","",IFERROR(LOOKUP(2^15,SEARCH(Rules!$A$2:$A$200&amp;"",$B566)/(Rules!$A$2:$A$200&lt;&gt;""),Rules!$A$2:$A$200),""))</f>
        <v/>
      </c>
      <c r="G566" s="3" t="str">
        <f aca="false">IF($B566="","",IF(D566="Uncategorized","⚠ Review",IF(IFERROR(LOOKUP(2^15,SEARCH(Rules!$A$2:$A$200&amp;"",$B566)/(Rules!$A$2:$A$200&lt;&gt;""),Rules!$C$2:$C$200),"")&lt;&gt;E566,"⚠ Check sign","OK")))</f>
        <v/>
      </c>
    </row>
    <row r="567" customFormat="false" ht="15" hidden="false" customHeight="false" outlineLevel="0" collapsed="false">
      <c r="A567" s="3"/>
      <c r="B567" s="3"/>
      <c r="C567" s="3"/>
      <c r="D567" s="3" t="str">
        <f aca="false">IF($B567="","",IFERROR(LOOKUP(2^15,SEARCH(Rules!$A$2:$A$200&amp;"",$B567)/(Rules!$A$2:$A$200&lt;&gt;""),Rules!$B$2:$B$200),"Uncategorized"))</f>
        <v/>
      </c>
      <c r="E567" s="3" t="str">
        <f aca="false">IF($B567="","",IF($C567&gt;=0,"Income","Expense"))</f>
        <v/>
      </c>
      <c r="F567" s="3" t="str">
        <f aca="false">IF($B567="","",IFERROR(LOOKUP(2^15,SEARCH(Rules!$A$2:$A$200&amp;"",$B567)/(Rules!$A$2:$A$200&lt;&gt;""),Rules!$A$2:$A$200),""))</f>
        <v/>
      </c>
      <c r="G567" s="3" t="str">
        <f aca="false">IF($B567="","",IF(D567="Uncategorized","⚠ Review",IF(IFERROR(LOOKUP(2^15,SEARCH(Rules!$A$2:$A$200&amp;"",$B567)/(Rules!$A$2:$A$200&lt;&gt;""),Rules!$C$2:$C$200),"")&lt;&gt;E567,"⚠ Check sign","OK")))</f>
        <v/>
      </c>
    </row>
    <row r="568" customFormat="false" ht="15" hidden="false" customHeight="false" outlineLevel="0" collapsed="false">
      <c r="A568" s="3"/>
      <c r="B568" s="3"/>
      <c r="C568" s="3"/>
      <c r="D568" s="3" t="str">
        <f aca="false">IF($B568="","",IFERROR(LOOKUP(2^15,SEARCH(Rules!$A$2:$A$200&amp;"",$B568)/(Rules!$A$2:$A$200&lt;&gt;""),Rules!$B$2:$B$200),"Uncategorized"))</f>
        <v/>
      </c>
      <c r="E568" s="3" t="str">
        <f aca="false">IF($B568="","",IF($C568&gt;=0,"Income","Expense"))</f>
        <v/>
      </c>
      <c r="F568" s="3" t="str">
        <f aca="false">IF($B568="","",IFERROR(LOOKUP(2^15,SEARCH(Rules!$A$2:$A$200&amp;"",$B568)/(Rules!$A$2:$A$200&lt;&gt;""),Rules!$A$2:$A$200),""))</f>
        <v/>
      </c>
      <c r="G568" s="3" t="str">
        <f aca="false">IF($B568="","",IF(D568="Uncategorized","⚠ Review",IF(IFERROR(LOOKUP(2^15,SEARCH(Rules!$A$2:$A$200&amp;"",$B568)/(Rules!$A$2:$A$200&lt;&gt;""),Rules!$C$2:$C$200),"")&lt;&gt;E568,"⚠ Check sign","OK")))</f>
        <v/>
      </c>
    </row>
    <row r="569" customFormat="false" ht="15" hidden="false" customHeight="false" outlineLevel="0" collapsed="false">
      <c r="A569" s="3"/>
      <c r="B569" s="3"/>
      <c r="C569" s="3"/>
      <c r="D569" s="3" t="str">
        <f aca="false">IF($B569="","",IFERROR(LOOKUP(2^15,SEARCH(Rules!$A$2:$A$200&amp;"",$B569)/(Rules!$A$2:$A$200&lt;&gt;""),Rules!$B$2:$B$200),"Uncategorized"))</f>
        <v/>
      </c>
      <c r="E569" s="3" t="str">
        <f aca="false">IF($B569="","",IF($C569&gt;=0,"Income","Expense"))</f>
        <v/>
      </c>
      <c r="F569" s="3" t="str">
        <f aca="false">IF($B569="","",IFERROR(LOOKUP(2^15,SEARCH(Rules!$A$2:$A$200&amp;"",$B569)/(Rules!$A$2:$A$200&lt;&gt;""),Rules!$A$2:$A$200),""))</f>
        <v/>
      </c>
      <c r="G569" s="3" t="str">
        <f aca="false">IF($B569="","",IF(D569="Uncategorized","⚠ Review",IF(IFERROR(LOOKUP(2^15,SEARCH(Rules!$A$2:$A$200&amp;"",$B569)/(Rules!$A$2:$A$200&lt;&gt;""),Rules!$C$2:$C$200),"")&lt;&gt;E569,"⚠ Check sign","OK")))</f>
        <v/>
      </c>
    </row>
    <row r="570" customFormat="false" ht="15" hidden="false" customHeight="false" outlineLevel="0" collapsed="false">
      <c r="A570" s="3"/>
      <c r="B570" s="3"/>
      <c r="C570" s="3"/>
      <c r="D570" s="3" t="str">
        <f aca="false">IF($B570="","",IFERROR(LOOKUP(2^15,SEARCH(Rules!$A$2:$A$200&amp;"",$B570)/(Rules!$A$2:$A$200&lt;&gt;""),Rules!$B$2:$B$200),"Uncategorized"))</f>
        <v/>
      </c>
      <c r="E570" s="3" t="str">
        <f aca="false">IF($B570="","",IF($C570&gt;=0,"Income","Expense"))</f>
        <v/>
      </c>
      <c r="F570" s="3" t="str">
        <f aca="false">IF($B570="","",IFERROR(LOOKUP(2^15,SEARCH(Rules!$A$2:$A$200&amp;"",$B570)/(Rules!$A$2:$A$200&lt;&gt;""),Rules!$A$2:$A$200),""))</f>
        <v/>
      </c>
      <c r="G570" s="3" t="str">
        <f aca="false">IF($B570="","",IF(D570="Uncategorized","⚠ Review",IF(IFERROR(LOOKUP(2^15,SEARCH(Rules!$A$2:$A$200&amp;"",$B570)/(Rules!$A$2:$A$200&lt;&gt;""),Rules!$C$2:$C$200),"")&lt;&gt;E570,"⚠ Check sign","OK")))</f>
        <v/>
      </c>
    </row>
    <row r="571" customFormat="false" ht="15" hidden="false" customHeight="false" outlineLevel="0" collapsed="false">
      <c r="A571" s="3"/>
      <c r="B571" s="3"/>
      <c r="C571" s="3"/>
      <c r="D571" s="3" t="str">
        <f aca="false">IF($B571="","",IFERROR(LOOKUP(2^15,SEARCH(Rules!$A$2:$A$200&amp;"",$B571)/(Rules!$A$2:$A$200&lt;&gt;""),Rules!$B$2:$B$200),"Uncategorized"))</f>
        <v/>
      </c>
      <c r="E571" s="3" t="str">
        <f aca="false">IF($B571="","",IF($C571&gt;=0,"Income","Expense"))</f>
        <v/>
      </c>
      <c r="F571" s="3" t="str">
        <f aca="false">IF($B571="","",IFERROR(LOOKUP(2^15,SEARCH(Rules!$A$2:$A$200&amp;"",$B571)/(Rules!$A$2:$A$200&lt;&gt;""),Rules!$A$2:$A$200),""))</f>
        <v/>
      </c>
      <c r="G571" s="3" t="str">
        <f aca="false">IF($B571="","",IF(D571="Uncategorized","⚠ Review",IF(IFERROR(LOOKUP(2^15,SEARCH(Rules!$A$2:$A$200&amp;"",$B571)/(Rules!$A$2:$A$200&lt;&gt;""),Rules!$C$2:$C$200),"")&lt;&gt;E571,"⚠ Check sign","OK")))</f>
        <v/>
      </c>
    </row>
    <row r="572" customFormat="false" ht="15" hidden="false" customHeight="false" outlineLevel="0" collapsed="false">
      <c r="A572" s="3"/>
      <c r="B572" s="3"/>
      <c r="C572" s="3"/>
      <c r="D572" s="3" t="str">
        <f aca="false">IF($B572="","",IFERROR(LOOKUP(2^15,SEARCH(Rules!$A$2:$A$200&amp;"",$B572)/(Rules!$A$2:$A$200&lt;&gt;""),Rules!$B$2:$B$200),"Uncategorized"))</f>
        <v/>
      </c>
      <c r="E572" s="3" t="str">
        <f aca="false">IF($B572="","",IF($C572&gt;=0,"Income","Expense"))</f>
        <v/>
      </c>
      <c r="F572" s="3" t="str">
        <f aca="false">IF($B572="","",IFERROR(LOOKUP(2^15,SEARCH(Rules!$A$2:$A$200&amp;"",$B572)/(Rules!$A$2:$A$200&lt;&gt;""),Rules!$A$2:$A$200),""))</f>
        <v/>
      </c>
      <c r="G572" s="3" t="str">
        <f aca="false">IF($B572="","",IF(D572="Uncategorized","⚠ Review",IF(IFERROR(LOOKUP(2^15,SEARCH(Rules!$A$2:$A$200&amp;"",$B572)/(Rules!$A$2:$A$200&lt;&gt;""),Rules!$C$2:$C$200),"")&lt;&gt;E572,"⚠ Check sign","OK")))</f>
        <v/>
      </c>
    </row>
    <row r="573" customFormat="false" ht="15" hidden="false" customHeight="false" outlineLevel="0" collapsed="false">
      <c r="A573" s="3"/>
      <c r="B573" s="3"/>
      <c r="C573" s="3"/>
      <c r="D573" s="3" t="str">
        <f aca="false">IF($B573="","",IFERROR(LOOKUP(2^15,SEARCH(Rules!$A$2:$A$200&amp;"",$B573)/(Rules!$A$2:$A$200&lt;&gt;""),Rules!$B$2:$B$200),"Uncategorized"))</f>
        <v/>
      </c>
      <c r="E573" s="3" t="str">
        <f aca="false">IF($B573="","",IF($C573&gt;=0,"Income","Expense"))</f>
        <v/>
      </c>
      <c r="F573" s="3" t="str">
        <f aca="false">IF($B573="","",IFERROR(LOOKUP(2^15,SEARCH(Rules!$A$2:$A$200&amp;"",$B573)/(Rules!$A$2:$A$200&lt;&gt;""),Rules!$A$2:$A$200),""))</f>
        <v/>
      </c>
      <c r="G573" s="3" t="str">
        <f aca="false">IF($B573="","",IF(D573="Uncategorized","⚠ Review",IF(IFERROR(LOOKUP(2^15,SEARCH(Rules!$A$2:$A$200&amp;"",$B573)/(Rules!$A$2:$A$200&lt;&gt;""),Rules!$C$2:$C$200),"")&lt;&gt;E573,"⚠ Check sign","OK")))</f>
        <v/>
      </c>
    </row>
    <row r="574" customFormat="false" ht="15" hidden="false" customHeight="false" outlineLevel="0" collapsed="false">
      <c r="A574" s="3"/>
      <c r="B574" s="3"/>
      <c r="C574" s="3"/>
      <c r="D574" s="3" t="str">
        <f aca="false">IF($B574="","",IFERROR(LOOKUP(2^15,SEARCH(Rules!$A$2:$A$200&amp;"",$B574)/(Rules!$A$2:$A$200&lt;&gt;""),Rules!$B$2:$B$200),"Uncategorized"))</f>
        <v/>
      </c>
      <c r="E574" s="3" t="str">
        <f aca="false">IF($B574="","",IF($C574&gt;=0,"Income","Expense"))</f>
        <v/>
      </c>
      <c r="F574" s="3" t="str">
        <f aca="false">IF($B574="","",IFERROR(LOOKUP(2^15,SEARCH(Rules!$A$2:$A$200&amp;"",$B574)/(Rules!$A$2:$A$200&lt;&gt;""),Rules!$A$2:$A$200),""))</f>
        <v/>
      </c>
      <c r="G574" s="3" t="str">
        <f aca="false">IF($B574="","",IF(D574="Uncategorized","⚠ Review",IF(IFERROR(LOOKUP(2^15,SEARCH(Rules!$A$2:$A$200&amp;"",$B574)/(Rules!$A$2:$A$200&lt;&gt;""),Rules!$C$2:$C$200),"")&lt;&gt;E574,"⚠ Check sign","OK")))</f>
        <v/>
      </c>
    </row>
    <row r="575" customFormat="false" ht="15" hidden="false" customHeight="false" outlineLevel="0" collapsed="false">
      <c r="A575" s="3"/>
      <c r="B575" s="3"/>
      <c r="C575" s="3"/>
      <c r="D575" s="3" t="str">
        <f aca="false">IF($B575="","",IFERROR(LOOKUP(2^15,SEARCH(Rules!$A$2:$A$200&amp;"",$B575)/(Rules!$A$2:$A$200&lt;&gt;""),Rules!$B$2:$B$200),"Uncategorized"))</f>
        <v/>
      </c>
      <c r="E575" s="3" t="str">
        <f aca="false">IF($B575="","",IF($C575&gt;=0,"Income","Expense"))</f>
        <v/>
      </c>
      <c r="F575" s="3" t="str">
        <f aca="false">IF($B575="","",IFERROR(LOOKUP(2^15,SEARCH(Rules!$A$2:$A$200&amp;"",$B575)/(Rules!$A$2:$A$200&lt;&gt;""),Rules!$A$2:$A$200),""))</f>
        <v/>
      </c>
      <c r="G575" s="3" t="str">
        <f aca="false">IF($B575="","",IF(D575="Uncategorized","⚠ Review",IF(IFERROR(LOOKUP(2^15,SEARCH(Rules!$A$2:$A$200&amp;"",$B575)/(Rules!$A$2:$A$200&lt;&gt;""),Rules!$C$2:$C$200),"")&lt;&gt;E575,"⚠ Check sign","OK")))</f>
        <v/>
      </c>
    </row>
    <row r="576" customFormat="false" ht="15" hidden="false" customHeight="false" outlineLevel="0" collapsed="false">
      <c r="A576" s="3"/>
      <c r="B576" s="3"/>
      <c r="C576" s="3"/>
      <c r="D576" s="3" t="str">
        <f aca="false">IF($B576="","",IFERROR(LOOKUP(2^15,SEARCH(Rules!$A$2:$A$200&amp;"",$B576)/(Rules!$A$2:$A$200&lt;&gt;""),Rules!$B$2:$B$200),"Uncategorized"))</f>
        <v/>
      </c>
      <c r="E576" s="3" t="str">
        <f aca="false">IF($B576="","",IF($C576&gt;=0,"Income","Expense"))</f>
        <v/>
      </c>
      <c r="F576" s="3" t="str">
        <f aca="false">IF($B576="","",IFERROR(LOOKUP(2^15,SEARCH(Rules!$A$2:$A$200&amp;"",$B576)/(Rules!$A$2:$A$200&lt;&gt;""),Rules!$A$2:$A$200),""))</f>
        <v/>
      </c>
      <c r="G576" s="3" t="str">
        <f aca="false">IF($B576="","",IF(D576="Uncategorized","⚠ Review",IF(IFERROR(LOOKUP(2^15,SEARCH(Rules!$A$2:$A$200&amp;"",$B576)/(Rules!$A$2:$A$200&lt;&gt;""),Rules!$C$2:$C$200),"")&lt;&gt;E576,"⚠ Check sign","OK")))</f>
        <v/>
      </c>
    </row>
    <row r="577" customFormat="false" ht="15" hidden="false" customHeight="false" outlineLevel="0" collapsed="false">
      <c r="A577" s="3"/>
      <c r="B577" s="3"/>
      <c r="C577" s="3"/>
      <c r="D577" s="3" t="str">
        <f aca="false">IF($B577="","",IFERROR(LOOKUP(2^15,SEARCH(Rules!$A$2:$A$200&amp;"",$B577)/(Rules!$A$2:$A$200&lt;&gt;""),Rules!$B$2:$B$200),"Uncategorized"))</f>
        <v/>
      </c>
      <c r="E577" s="3" t="str">
        <f aca="false">IF($B577="","",IF($C577&gt;=0,"Income","Expense"))</f>
        <v/>
      </c>
      <c r="F577" s="3" t="str">
        <f aca="false">IF($B577="","",IFERROR(LOOKUP(2^15,SEARCH(Rules!$A$2:$A$200&amp;"",$B577)/(Rules!$A$2:$A$200&lt;&gt;""),Rules!$A$2:$A$200),""))</f>
        <v/>
      </c>
      <c r="G577" s="3" t="str">
        <f aca="false">IF($B577="","",IF(D577="Uncategorized","⚠ Review",IF(IFERROR(LOOKUP(2^15,SEARCH(Rules!$A$2:$A$200&amp;"",$B577)/(Rules!$A$2:$A$200&lt;&gt;""),Rules!$C$2:$C$200),"")&lt;&gt;E577,"⚠ Check sign","OK")))</f>
        <v/>
      </c>
    </row>
    <row r="578" customFormat="false" ht="15" hidden="false" customHeight="false" outlineLevel="0" collapsed="false">
      <c r="A578" s="3"/>
      <c r="B578" s="3"/>
      <c r="C578" s="3"/>
      <c r="D578" s="3" t="str">
        <f aca="false">IF($B578="","",IFERROR(LOOKUP(2^15,SEARCH(Rules!$A$2:$A$200&amp;"",$B578)/(Rules!$A$2:$A$200&lt;&gt;""),Rules!$B$2:$B$200),"Uncategorized"))</f>
        <v/>
      </c>
      <c r="E578" s="3" t="str">
        <f aca="false">IF($B578="","",IF($C578&gt;=0,"Income","Expense"))</f>
        <v/>
      </c>
      <c r="F578" s="3" t="str">
        <f aca="false">IF($B578="","",IFERROR(LOOKUP(2^15,SEARCH(Rules!$A$2:$A$200&amp;"",$B578)/(Rules!$A$2:$A$200&lt;&gt;""),Rules!$A$2:$A$200),""))</f>
        <v/>
      </c>
      <c r="G578" s="3" t="str">
        <f aca="false">IF($B578="","",IF(D578="Uncategorized","⚠ Review",IF(IFERROR(LOOKUP(2^15,SEARCH(Rules!$A$2:$A$200&amp;"",$B578)/(Rules!$A$2:$A$200&lt;&gt;""),Rules!$C$2:$C$200),"")&lt;&gt;E578,"⚠ Check sign","OK")))</f>
        <v/>
      </c>
    </row>
    <row r="579" customFormat="false" ht="15" hidden="false" customHeight="false" outlineLevel="0" collapsed="false">
      <c r="A579" s="3"/>
      <c r="B579" s="3"/>
      <c r="C579" s="3"/>
      <c r="D579" s="3" t="str">
        <f aca="false">IF($B579="","",IFERROR(LOOKUP(2^15,SEARCH(Rules!$A$2:$A$200&amp;"",$B579)/(Rules!$A$2:$A$200&lt;&gt;""),Rules!$B$2:$B$200),"Uncategorized"))</f>
        <v/>
      </c>
      <c r="E579" s="3" t="str">
        <f aca="false">IF($B579="","",IF($C579&gt;=0,"Income","Expense"))</f>
        <v/>
      </c>
      <c r="F579" s="3" t="str">
        <f aca="false">IF($B579="","",IFERROR(LOOKUP(2^15,SEARCH(Rules!$A$2:$A$200&amp;"",$B579)/(Rules!$A$2:$A$200&lt;&gt;""),Rules!$A$2:$A$200),""))</f>
        <v/>
      </c>
      <c r="G579" s="3" t="str">
        <f aca="false">IF($B579="","",IF(D579="Uncategorized","⚠ Review",IF(IFERROR(LOOKUP(2^15,SEARCH(Rules!$A$2:$A$200&amp;"",$B579)/(Rules!$A$2:$A$200&lt;&gt;""),Rules!$C$2:$C$200),"")&lt;&gt;E579,"⚠ Check sign","OK")))</f>
        <v/>
      </c>
    </row>
    <row r="580" customFormat="false" ht="15" hidden="false" customHeight="false" outlineLevel="0" collapsed="false">
      <c r="A580" s="3"/>
      <c r="B580" s="3"/>
      <c r="C580" s="3"/>
      <c r="D580" s="3" t="str">
        <f aca="false">IF($B580="","",IFERROR(LOOKUP(2^15,SEARCH(Rules!$A$2:$A$200&amp;"",$B580)/(Rules!$A$2:$A$200&lt;&gt;""),Rules!$B$2:$B$200),"Uncategorized"))</f>
        <v/>
      </c>
      <c r="E580" s="3" t="str">
        <f aca="false">IF($B580="","",IF($C580&gt;=0,"Income","Expense"))</f>
        <v/>
      </c>
      <c r="F580" s="3" t="str">
        <f aca="false">IF($B580="","",IFERROR(LOOKUP(2^15,SEARCH(Rules!$A$2:$A$200&amp;"",$B580)/(Rules!$A$2:$A$200&lt;&gt;""),Rules!$A$2:$A$200),""))</f>
        <v/>
      </c>
      <c r="G580" s="3" t="str">
        <f aca="false">IF($B580="","",IF(D580="Uncategorized","⚠ Review",IF(IFERROR(LOOKUP(2^15,SEARCH(Rules!$A$2:$A$200&amp;"",$B580)/(Rules!$A$2:$A$200&lt;&gt;""),Rules!$C$2:$C$200),"")&lt;&gt;E580,"⚠ Check sign","OK")))</f>
        <v/>
      </c>
    </row>
    <row r="581" customFormat="false" ht="15" hidden="false" customHeight="false" outlineLevel="0" collapsed="false">
      <c r="A581" s="3"/>
      <c r="B581" s="3"/>
      <c r="C581" s="3"/>
      <c r="D581" s="3" t="str">
        <f aca="false">IF($B581="","",IFERROR(LOOKUP(2^15,SEARCH(Rules!$A$2:$A$200&amp;"",$B581)/(Rules!$A$2:$A$200&lt;&gt;""),Rules!$B$2:$B$200),"Uncategorized"))</f>
        <v/>
      </c>
      <c r="E581" s="3" t="str">
        <f aca="false">IF($B581="","",IF($C581&gt;=0,"Income","Expense"))</f>
        <v/>
      </c>
      <c r="F581" s="3" t="str">
        <f aca="false">IF($B581="","",IFERROR(LOOKUP(2^15,SEARCH(Rules!$A$2:$A$200&amp;"",$B581)/(Rules!$A$2:$A$200&lt;&gt;""),Rules!$A$2:$A$200),""))</f>
        <v/>
      </c>
      <c r="G581" s="3" t="str">
        <f aca="false">IF($B581="","",IF(D581="Uncategorized","⚠ Review",IF(IFERROR(LOOKUP(2^15,SEARCH(Rules!$A$2:$A$200&amp;"",$B581)/(Rules!$A$2:$A$200&lt;&gt;""),Rules!$C$2:$C$200),"")&lt;&gt;E581,"⚠ Check sign","OK")))</f>
        <v/>
      </c>
    </row>
    <row r="582" customFormat="false" ht="15" hidden="false" customHeight="false" outlineLevel="0" collapsed="false">
      <c r="A582" s="3"/>
      <c r="B582" s="3"/>
      <c r="C582" s="3"/>
      <c r="D582" s="3" t="str">
        <f aca="false">IF($B582="","",IFERROR(LOOKUP(2^15,SEARCH(Rules!$A$2:$A$200&amp;"",$B582)/(Rules!$A$2:$A$200&lt;&gt;""),Rules!$B$2:$B$200),"Uncategorized"))</f>
        <v/>
      </c>
      <c r="E582" s="3" t="str">
        <f aca="false">IF($B582="","",IF($C582&gt;=0,"Income","Expense"))</f>
        <v/>
      </c>
      <c r="F582" s="3" t="str">
        <f aca="false">IF($B582="","",IFERROR(LOOKUP(2^15,SEARCH(Rules!$A$2:$A$200&amp;"",$B582)/(Rules!$A$2:$A$200&lt;&gt;""),Rules!$A$2:$A$200),""))</f>
        <v/>
      </c>
      <c r="G582" s="3" t="str">
        <f aca="false">IF($B582="","",IF(D582="Uncategorized","⚠ Review",IF(IFERROR(LOOKUP(2^15,SEARCH(Rules!$A$2:$A$200&amp;"",$B582)/(Rules!$A$2:$A$200&lt;&gt;""),Rules!$C$2:$C$200),"")&lt;&gt;E582,"⚠ Check sign","OK")))</f>
        <v/>
      </c>
    </row>
    <row r="583" customFormat="false" ht="15" hidden="false" customHeight="false" outlineLevel="0" collapsed="false">
      <c r="A583" s="3"/>
      <c r="B583" s="3"/>
      <c r="C583" s="3"/>
      <c r="D583" s="3" t="str">
        <f aca="false">IF($B583="","",IFERROR(LOOKUP(2^15,SEARCH(Rules!$A$2:$A$200&amp;"",$B583)/(Rules!$A$2:$A$200&lt;&gt;""),Rules!$B$2:$B$200),"Uncategorized"))</f>
        <v/>
      </c>
      <c r="E583" s="3" t="str">
        <f aca="false">IF($B583="","",IF($C583&gt;=0,"Income","Expense"))</f>
        <v/>
      </c>
      <c r="F583" s="3" t="str">
        <f aca="false">IF($B583="","",IFERROR(LOOKUP(2^15,SEARCH(Rules!$A$2:$A$200&amp;"",$B583)/(Rules!$A$2:$A$200&lt;&gt;""),Rules!$A$2:$A$200),""))</f>
        <v/>
      </c>
      <c r="G583" s="3" t="str">
        <f aca="false">IF($B583="","",IF(D583="Uncategorized","⚠ Review",IF(IFERROR(LOOKUP(2^15,SEARCH(Rules!$A$2:$A$200&amp;"",$B583)/(Rules!$A$2:$A$200&lt;&gt;""),Rules!$C$2:$C$200),"")&lt;&gt;E583,"⚠ Check sign","OK")))</f>
        <v/>
      </c>
    </row>
    <row r="584" customFormat="false" ht="15" hidden="false" customHeight="false" outlineLevel="0" collapsed="false">
      <c r="A584" s="3"/>
      <c r="B584" s="3"/>
      <c r="C584" s="3"/>
      <c r="D584" s="3" t="str">
        <f aca="false">IF($B584="","",IFERROR(LOOKUP(2^15,SEARCH(Rules!$A$2:$A$200&amp;"",$B584)/(Rules!$A$2:$A$200&lt;&gt;""),Rules!$B$2:$B$200),"Uncategorized"))</f>
        <v/>
      </c>
      <c r="E584" s="3" t="str">
        <f aca="false">IF($B584="","",IF($C584&gt;=0,"Income","Expense"))</f>
        <v/>
      </c>
      <c r="F584" s="3" t="str">
        <f aca="false">IF($B584="","",IFERROR(LOOKUP(2^15,SEARCH(Rules!$A$2:$A$200&amp;"",$B584)/(Rules!$A$2:$A$200&lt;&gt;""),Rules!$A$2:$A$200),""))</f>
        <v/>
      </c>
      <c r="G584" s="3" t="str">
        <f aca="false">IF($B584="","",IF(D584="Uncategorized","⚠ Review",IF(IFERROR(LOOKUP(2^15,SEARCH(Rules!$A$2:$A$200&amp;"",$B584)/(Rules!$A$2:$A$200&lt;&gt;""),Rules!$C$2:$C$200),"")&lt;&gt;E584,"⚠ Check sign","OK")))</f>
        <v/>
      </c>
    </row>
    <row r="585" customFormat="false" ht="15" hidden="false" customHeight="false" outlineLevel="0" collapsed="false">
      <c r="A585" s="3"/>
      <c r="B585" s="3"/>
      <c r="C585" s="3"/>
      <c r="D585" s="3" t="str">
        <f aca="false">IF($B585="","",IFERROR(LOOKUP(2^15,SEARCH(Rules!$A$2:$A$200&amp;"",$B585)/(Rules!$A$2:$A$200&lt;&gt;""),Rules!$B$2:$B$200),"Uncategorized"))</f>
        <v/>
      </c>
      <c r="E585" s="3" t="str">
        <f aca="false">IF($B585="","",IF($C585&gt;=0,"Income","Expense"))</f>
        <v/>
      </c>
      <c r="F585" s="3" t="str">
        <f aca="false">IF($B585="","",IFERROR(LOOKUP(2^15,SEARCH(Rules!$A$2:$A$200&amp;"",$B585)/(Rules!$A$2:$A$200&lt;&gt;""),Rules!$A$2:$A$200),""))</f>
        <v/>
      </c>
      <c r="G585" s="3" t="str">
        <f aca="false">IF($B585="","",IF(D585="Uncategorized","⚠ Review",IF(IFERROR(LOOKUP(2^15,SEARCH(Rules!$A$2:$A$200&amp;"",$B585)/(Rules!$A$2:$A$200&lt;&gt;""),Rules!$C$2:$C$200),"")&lt;&gt;E585,"⚠ Check sign","OK")))</f>
        <v/>
      </c>
    </row>
    <row r="586" customFormat="false" ht="15" hidden="false" customHeight="false" outlineLevel="0" collapsed="false">
      <c r="A586" s="3"/>
      <c r="B586" s="3"/>
      <c r="C586" s="3"/>
      <c r="D586" s="3" t="str">
        <f aca="false">IF($B586="","",IFERROR(LOOKUP(2^15,SEARCH(Rules!$A$2:$A$200&amp;"",$B586)/(Rules!$A$2:$A$200&lt;&gt;""),Rules!$B$2:$B$200),"Uncategorized"))</f>
        <v/>
      </c>
      <c r="E586" s="3" t="str">
        <f aca="false">IF($B586="","",IF($C586&gt;=0,"Income","Expense"))</f>
        <v/>
      </c>
      <c r="F586" s="3" t="str">
        <f aca="false">IF($B586="","",IFERROR(LOOKUP(2^15,SEARCH(Rules!$A$2:$A$200&amp;"",$B586)/(Rules!$A$2:$A$200&lt;&gt;""),Rules!$A$2:$A$200),""))</f>
        <v/>
      </c>
      <c r="G586" s="3" t="str">
        <f aca="false">IF($B586="","",IF(D586="Uncategorized","⚠ Review",IF(IFERROR(LOOKUP(2^15,SEARCH(Rules!$A$2:$A$200&amp;"",$B586)/(Rules!$A$2:$A$200&lt;&gt;""),Rules!$C$2:$C$200),"")&lt;&gt;E586,"⚠ Check sign","OK")))</f>
        <v/>
      </c>
    </row>
    <row r="587" customFormat="false" ht="15" hidden="false" customHeight="false" outlineLevel="0" collapsed="false">
      <c r="A587" s="3"/>
      <c r="B587" s="3"/>
      <c r="C587" s="3"/>
      <c r="D587" s="3" t="str">
        <f aca="false">IF($B587="","",IFERROR(LOOKUP(2^15,SEARCH(Rules!$A$2:$A$200&amp;"",$B587)/(Rules!$A$2:$A$200&lt;&gt;""),Rules!$B$2:$B$200),"Uncategorized"))</f>
        <v/>
      </c>
      <c r="E587" s="3" t="str">
        <f aca="false">IF($B587="","",IF($C587&gt;=0,"Income","Expense"))</f>
        <v/>
      </c>
      <c r="F587" s="3" t="str">
        <f aca="false">IF($B587="","",IFERROR(LOOKUP(2^15,SEARCH(Rules!$A$2:$A$200&amp;"",$B587)/(Rules!$A$2:$A$200&lt;&gt;""),Rules!$A$2:$A$200),""))</f>
        <v/>
      </c>
      <c r="G587" s="3" t="str">
        <f aca="false">IF($B587="","",IF(D587="Uncategorized","⚠ Review",IF(IFERROR(LOOKUP(2^15,SEARCH(Rules!$A$2:$A$200&amp;"",$B587)/(Rules!$A$2:$A$200&lt;&gt;""),Rules!$C$2:$C$200),"")&lt;&gt;E587,"⚠ Check sign","OK")))</f>
        <v/>
      </c>
    </row>
    <row r="588" customFormat="false" ht="15" hidden="false" customHeight="false" outlineLevel="0" collapsed="false">
      <c r="A588" s="3"/>
      <c r="B588" s="3"/>
      <c r="C588" s="3"/>
      <c r="D588" s="3" t="str">
        <f aca="false">IF($B588="","",IFERROR(LOOKUP(2^15,SEARCH(Rules!$A$2:$A$200&amp;"",$B588)/(Rules!$A$2:$A$200&lt;&gt;""),Rules!$B$2:$B$200),"Uncategorized"))</f>
        <v/>
      </c>
      <c r="E588" s="3" t="str">
        <f aca="false">IF($B588="","",IF($C588&gt;=0,"Income","Expense"))</f>
        <v/>
      </c>
      <c r="F588" s="3" t="str">
        <f aca="false">IF($B588="","",IFERROR(LOOKUP(2^15,SEARCH(Rules!$A$2:$A$200&amp;"",$B588)/(Rules!$A$2:$A$200&lt;&gt;""),Rules!$A$2:$A$200),""))</f>
        <v/>
      </c>
      <c r="G588" s="3" t="str">
        <f aca="false">IF($B588="","",IF(D588="Uncategorized","⚠ Review",IF(IFERROR(LOOKUP(2^15,SEARCH(Rules!$A$2:$A$200&amp;"",$B588)/(Rules!$A$2:$A$200&lt;&gt;""),Rules!$C$2:$C$200),"")&lt;&gt;E588,"⚠ Check sign","OK")))</f>
        <v/>
      </c>
    </row>
    <row r="589" customFormat="false" ht="15" hidden="false" customHeight="false" outlineLevel="0" collapsed="false">
      <c r="A589" s="3"/>
      <c r="B589" s="3"/>
      <c r="C589" s="3"/>
      <c r="D589" s="3" t="str">
        <f aca="false">IF($B589="","",IFERROR(LOOKUP(2^15,SEARCH(Rules!$A$2:$A$200&amp;"",$B589)/(Rules!$A$2:$A$200&lt;&gt;""),Rules!$B$2:$B$200),"Uncategorized"))</f>
        <v/>
      </c>
      <c r="E589" s="3" t="str">
        <f aca="false">IF($B589="","",IF($C589&gt;=0,"Income","Expense"))</f>
        <v/>
      </c>
      <c r="F589" s="3" t="str">
        <f aca="false">IF($B589="","",IFERROR(LOOKUP(2^15,SEARCH(Rules!$A$2:$A$200&amp;"",$B589)/(Rules!$A$2:$A$200&lt;&gt;""),Rules!$A$2:$A$200),""))</f>
        <v/>
      </c>
      <c r="G589" s="3" t="str">
        <f aca="false">IF($B589="","",IF(D589="Uncategorized","⚠ Review",IF(IFERROR(LOOKUP(2^15,SEARCH(Rules!$A$2:$A$200&amp;"",$B589)/(Rules!$A$2:$A$200&lt;&gt;""),Rules!$C$2:$C$200),"")&lt;&gt;E589,"⚠ Check sign","OK")))</f>
        <v/>
      </c>
    </row>
    <row r="590" customFormat="false" ht="15" hidden="false" customHeight="false" outlineLevel="0" collapsed="false">
      <c r="A590" s="3"/>
      <c r="B590" s="3"/>
      <c r="C590" s="3"/>
      <c r="D590" s="3" t="str">
        <f aca="false">IF($B590="","",IFERROR(LOOKUP(2^15,SEARCH(Rules!$A$2:$A$200&amp;"",$B590)/(Rules!$A$2:$A$200&lt;&gt;""),Rules!$B$2:$B$200),"Uncategorized"))</f>
        <v/>
      </c>
      <c r="E590" s="3" t="str">
        <f aca="false">IF($B590="","",IF($C590&gt;=0,"Income","Expense"))</f>
        <v/>
      </c>
      <c r="F590" s="3" t="str">
        <f aca="false">IF($B590="","",IFERROR(LOOKUP(2^15,SEARCH(Rules!$A$2:$A$200&amp;"",$B590)/(Rules!$A$2:$A$200&lt;&gt;""),Rules!$A$2:$A$200),""))</f>
        <v/>
      </c>
      <c r="G590" s="3" t="str">
        <f aca="false">IF($B590="","",IF(D590="Uncategorized","⚠ Review",IF(IFERROR(LOOKUP(2^15,SEARCH(Rules!$A$2:$A$200&amp;"",$B590)/(Rules!$A$2:$A$200&lt;&gt;""),Rules!$C$2:$C$200),"")&lt;&gt;E590,"⚠ Check sign","OK")))</f>
        <v/>
      </c>
    </row>
    <row r="591" customFormat="false" ht="15" hidden="false" customHeight="false" outlineLevel="0" collapsed="false">
      <c r="A591" s="3"/>
      <c r="B591" s="3"/>
      <c r="C591" s="3"/>
      <c r="D591" s="3" t="str">
        <f aca="false">IF($B591="","",IFERROR(LOOKUP(2^15,SEARCH(Rules!$A$2:$A$200&amp;"",$B591)/(Rules!$A$2:$A$200&lt;&gt;""),Rules!$B$2:$B$200),"Uncategorized"))</f>
        <v/>
      </c>
      <c r="E591" s="3" t="str">
        <f aca="false">IF($B591="","",IF($C591&gt;=0,"Income","Expense"))</f>
        <v/>
      </c>
      <c r="F591" s="3" t="str">
        <f aca="false">IF($B591="","",IFERROR(LOOKUP(2^15,SEARCH(Rules!$A$2:$A$200&amp;"",$B591)/(Rules!$A$2:$A$200&lt;&gt;""),Rules!$A$2:$A$200),""))</f>
        <v/>
      </c>
      <c r="G591" s="3" t="str">
        <f aca="false">IF($B591="","",IF(D591="Uncategorized","⚠ Review",IF(IFERROR(LOOKUP(2^15,SEARCH(Rules!$A$2:$A$200&amp;"",$B591)/(Rules!$A$2:$A$200&lt;&gt;""),Rules!$C$2:$C$200),"")&lt;&gt;E591,"⚠ Check sign","OK")))</f>
        <v/>
      </c>
    </row>
    <row r="592" customFormat="false" ht="15" hidden="false" customHeight="false" outlineLevel="0" collapsed="false">
      <c r="A592" s="3"/>
      <c r="B592" s="3"/>
      <c r="C592" s="3"/>
      <c r="D592" s="3" t="str">
        <f aca="false">IF($B592="","",IFERROR(LOOKUP(2^15,SEARCH(Rules!$A$2:$A$200&amp;"",$B592)/(Rules!$A$2:$A$200&lt;&gt;""),Rules!$B$2:$B$200),"Uncategorized"))</f>
        <v/>
      </c>
      <c r="E592" s="3" t="str">
        <f aca="false">IF($B592="","",IF($C592&gt;=0,"Income","Expense"))</f>
        <v/>
      </c>
      <c r="F592" s="3" t="str">
        <f aca="false">IF($B592="","",IFERROR(LOOKUP(2^15,SEARCH(Rules!$A$2:$A$200&amp;"",$B592)/(Rules!$A$2:$A$200&lt;&gt;""),Rules!$A$2:$A$200),""))</f>
        <v/>
      </c>
      <c r="G592" s="3" t="str">
        <f aca="false">IF($B592="","",IF(D592="Uncategorized","⚠ Review",IF(IFERROR(LOOKUP(2^15,SEARCH(Rules!$A$2:$A$200&amp;"",$B592)/(Rules!$A$2:$A$200&lt;&gt;""),Rules!$C$2:$C$200),"")&lt;&gt;E592,"⚠ Check sign","OK")))</f>
        <v/>
      </c>
    </row>
    <row r="593" customFormat="false" ht="15" hidden="false" customHeight="false" outlineLevel="0" collapsed="false">
      <c r="A593" s="3"/>
      <c r="B593" s="3"/>
      <c r="C593" s="3"/>
      <c r="D593" s="3" t="str">
        <f aca="false">IF($B593="","",IFERROR(LOOKUP(2^15,SEARCH(Rules!$A$2:$A$200&amp;"",$B593)/(Rules!$A$2:$A$200&lt;&gt;""),Rules!$B$2:$B$200),"Uncategorized"))</f>
        <v/>
      </c>
      <c r="E593" s="3" t="str">
        <f aca="false">IF($B593="","",IF($C593&gt;=0,"Income","Expense"))</f>
        <v/>
      </c>
      <c r="F593" s="3" t="str">
        <f aca="false">IF($B593="","",IFERROR(LOOKUP(2^15,SEARCH(Rules!$A$2:$A$200&amp;"",$B593)/(Rules!$A$2:$A$200&lt;&gt;""),Rules!$A$2:$A$200),""))</f>
        <v/>
      </c>
      <c r="G593" s="3" t="str">
        <f aca="false">IF($B593="","",IF(D593="Uncategorized","⚠ Review",IF(IFERROR(LOOKUP(2^15,SEARCH(Rules!$A$2:$A$200&amp;"",$B593)/(Rules!$A$2:$A$200&lt;&gt;""),Rules!$C$2:$C$200),"")&lt;&gt;E593,"⚠ Check sign","OK")))</f>
        <v/>
      </c>
    </row>
    <row r="594" customFormat="false" ht="15" hidden="false" customHeight="false" outlineLevel="0" collapsed="false">
      <c r="A594" s="3"/>
      <c r="B594" s="3"/>
      <c r="C594" s="3"/>
      <c r="D594" s="3" t="str">
        <f aca="false">IF($B594="","",IFERROR(LOOKUP(2^15,SEARCH(Rules!$A$2:$A$200&amp;"",$B594)/(Rules!$A$2:$A$200&lt;&gt;""),Rules!$B$2:$B$200),"Uncategorized"))</f>
        <v/>
      </c>
      <c r="E594" s="3" t="str">
        <f aca="false">IF($B594="","",IF($C594&gt;=0,"Income","Expense"))</f>
        <v/>
      </c>
      <c r="F594" s="3" t="str">
        <f aca="false">IF($B594="","",IFERROR(LOOKUP(2^15,SEARCH(Rules!$A$2:$A$200&amp;"",$B594)/(Rules!$A$2:$A$200&lt;&gt;""),Rules!$A$2:$A$200),""))</f>
        <v/>
      </c>
      <c r="G594" s="3" t="str">
        <f aca="false">IF($B594="","",IF(D594="Uncategorized","⚠ Review",IF(IFERROR(LOOKUP(2^15,SEARCH(Rules!$A$2:$A$200&amp;"",$B594)/(Rules!$A$2:$A$200&lt;&gt;""),Rules!$C$2:$C$200),"")&lt;&gt;E594,"⚠ Check sign","OK")))</f>
        <v/>
      </c>
    </row>
    <row r="595" customFormat="false" ht="15" hidden="false" customHeight="false" outlineLevel="0" collapsed="false">
      <c r="A595" s="3"/>
      <c r="B595" s="3"/>
      <c r="C595" s="3"/>
      <c r="D595" s="3" t="str">
        <f aca="false">IF($B595="","",IFERROR(LOOKUP(2^15,SEARCH(Rules!$A$2:$A$200&amp;"",$B595)/(Rules!$A$2:$A$200&lt;&gt;""),Rules!$B$2:$B$200),"Uncategorized"))</f>
        <v/>
      </c>
      <c r="E595" s="3" t="str">
        <f aca="false">IF($B595="","",IF($C595&gt;=0,"Income","Expense"))</f>
        <v/>
      </c>
      <c r="F595" s="3" t="str">
        <f aca="false">IF($B595="","",IFERROR(LOOKUP(2^15,SEARCH(Rules!$A$2:$A$200&amp;"",$B595)/(Rules!$A$2:$A$200&lt;&gt;""),Rules!$A$2:$A$200),""))</f>
        <v/>
      </c>
      <c r="G595" s="3" t="str">
        <f aca="false">IF($B595="","",IF(D595="Uncategorized","⚠ Review",IF(IFERROR(LOOKUP(2^15,SEARCH(Rules!$A$2:$A$200&amp;"",$B595)/(Rules!$A$2:$A$200&lt;&gt;""),Rules!$C$2:$C$200),"")&lt;&gt;E595,"⚠ Check sign","OK")))</f>
        <v/>
      </c>
    </row>
    <row r="596" customFormat="false" ht="15" hidden="false" customHeight="false" outlineLevel="0" collapsed="false">
      <c r="A596" s="3"/>
      <c r="B596" s="3"/>
      <c r="C596" s="3"/>
      <c r="D596" s="3" t="str">
        <f aca="false">IF($B596="","",IFERROR(LOOKUP(2^15,SEARCH(Rules!$A$2:$A$200&amp;"",$B596)/(Rules!$A$2:$A$200&lt;&gt;""),Rules!$B$2:$B$200),"Uncategorized"))</f>
        <v/>
      </c>
      <c r="E596" s="3" t="str">
        <f aca="false">IF($B596="","",IF($C596&gt;=0,"Income","Expense"))</f>
        <v/>
      </c>
      <c r="F596" s="3" t="str">
        <f aca="false">IF($B596="","",IFERROR(LOOKUP(2^15,SEARCH(Rules!$A$2:$A$200&amp;"",$B596)/(Rules!$A$2:$A$200&lt;&gt;""),Rules!$A$2:$A$200),""))</f>
        <v/>
      </c>
      <c r="G596" s="3" t="str">
        <f aca="false">IF($B596="","",IF(D596="Uncategorized","⚠ Review",IF(IFERROR(LOOKUP(2^15,SEARCH(Rules!$A$2:$A$200&amp;"",$B596)/(Rules!$A$2:$A$200&lt;&gt;""),Rules!$C$2:$C$200),"")&lt;&gt;E596,"⚠ Check sign","OK")))</f>
        <v/>
      </c>
    </row>
    <row r="597" customFormat="false" ht="15" hidden="false" customHeight="false" outlineLevel="0" collapsed="false">
      <c r="A597" s="3"/>
      <c r="B597" s="3"/>
      <c r="C597" s="3"/>
      <c r="D597" s="3" t="str">
        <f aca="false">IF($B597="","",IFERROR(LOOKUP(2^15,SEARCH(Rules!$A$2:$A$200&amp;"",$B597)/(Rules!$A$2:$A$200&lt;&gt;""),Rules!$B$2:$B$200),"Uncategorized"))</f>
        <v/>
      </c>
      <c r="E597" s="3" t="str">
        <f aca="false">IF($B597="","",IF($C597&gt;=0,"Income","Expense"))</f>
        <v/>
      </c>
      <c r="F597" s="3" t="str">
        <f aca="false">IF($B597="","",IFERROR(LOOKUP(2^15,SEARCH(Rules!$A$2:$A$200&amp;"",$B597)/(Rules!$A$2:$A$200&lt;&gt;""),Rules!$A$2:$A$200),""))</f>
        <v/>
      </c>
      <c r="G597" s="3" t="str">
        <f aca="false">IF($B597="","",IF(D597="Uncategorized","⚠ Review",IF(IFERROR(LOOKUP(2^15,SEARCH(Rules!$A$2:$A$200&amp;"",$B597)/(Rules!$A$2:$A$200&lt;&gt;""),Rules!$C$2:$C$200),"")&lt;&gt;E597,"⚠ Check sign","OK")))</f>
        <v/>
      </c>
    </row>
    <row r="598" customFormat="false" ht="15" hidden="false" customHeight="false" outlineLevel="0" collapsed="false">
      <c r="A598" s="3"/>
      <c r="B598" s="3"/>
      <c r="C598" s="3"/>
      <c r="D598" s="3" t="str">
        <f aca="false">IF($B598="","",IFERROR(LOOKUP(2^15,SEARCH(Rules!$A$2:$A$200&amp;"",$B598)/(Rules!$A$2:$A$200&lt;&gt;""),Rules!$B$2:$B$200),"Uncategorized"))</f>
        <v/>
      </c>
      <c r="E598" s="3" t="str">
        <f aca="false">IF($B598="","",IF($C598&gt;=0,"Income","Expense"))</f>
        <v/>
      </c>
      <c r="F598" s="3" t="str">
        <f aca="false">IF($B598="","",IFERROR(LOOKUP(2^15,SEARCH(Rules!$A$2:$A$200&amp;"",$B598)/(Rules!$A$2:$A$200&lt;&gt;""),Rules!$A$2:$A$200),""))</f>
        <v/>
      </c>
      <c r="G598" s="3" t="str">
        <f aca="false">IF($B598="","",IF(D598="Uncategorized","⚠ Review",IF(IFERROR(LOOKUP(2^15,SEARCH(Rules!$A$2:$A$200&amp;"",$B598)/(Rules!$A$2:$A$200&lt;&gt;""),Rules!$C$2:$C$200),"")&lt;&gt;E598,"⚠ Check sign","OK")))</f>
        <v/>
      </c>
    </row>
    <row r="599" customFormat="false" ht="15" hidden="false" customHeight="false" outlineLevel="0" collapsed="false">
      <c r="A599" s="3"/>
      <c r="B599" s="3"/>
      <c r="C599" s="3"/>
      <c r="D599" s="3" t="str">
        <f aca="false">IF($B599="","",IFERROR(LOOKUP(2^15,SEARCH(Rules!$A$2:$A$200&amp;"",$B599)/(Rules!$A$2:$A$200&lt;&gt;""),Rules!$B$2:$B$200),"Uncategorized"))</f>
        <v/>
      </c>
      <c r="E599" s="3" t="str">
        <f aca="false">IF($B599="","",IF($C599&gt;=0,"Income","Expense"))</f>
        <v/>
      </c>
      <c r="F599" s="3" t="str">
        <f aca="false">IF($B599="","",IFERROR(LOOKUP(2^15,SEARCH(Rules!$A$2:$A$200&amp;"",$B599)/(Rules!$A$2:$A$200&lt;&gt;""),Rules!$A$2:$A$200),""))</f>
        <v/>
      </c>
      <c r="G599" s="3" t="str">
        <f aca="false">IF($B599="","",IF(D599="Uncategorized","⚠ Review",IF(IFERROR(LOOKUP(2^15,SEARCH(Rules!$A$2:$A$200&amp;"",$B599)/(Rules!$A$2:$A$200&lt;&gt;""),Rules!$C$2:$C$200),"")&lt;&gt;E599,"⚠ Check sign","OK")))</f>
        <v/>
      </c>
    </row>
    <row r="600" customFormat="false" ht="15" hidden="false" customHeight="false" outlineLevel="0" collapsed="false">
      <c r="A600" s="3"/>
      <c r="B600" s="3"/>
      <c r="C600" s="3"/>
      <c r="D600" s="3" t="str">
        <f aca="false">IF($B600="","",IFERROR(LOOKUP(2^15,SEARCH(Rules!$A$2:$A$200&amp;"",$B600)/(Rules!$A$2:$A$200&lt;&gt;""),Rules!$B$2:$B$200),"Uncategorized"))</f>
        <v/>
      </c>
      <c r="E600" s="3" t="str">
        <f aca="false">IF($B600="","",IF($C600&gt;=0,"Income","Expense"))</f>
        <v/>
      </c>
      <c r="F600" s="3" t="str">
        <f aca="false">IF($B600="","",IFERROR(LOOKUP(2^15,SEARCH(Rules!$A$2:$A$200&amp;"",$B600)/(Rules!$A$2:$A$200&lt;&gt;""),Rules!$A$2:$A$200),""))</f>
        <v/>
      </c>
      <c r="G600" s="3" t="str">
        <f aca="false">IF($B600="","",IF(D600="Uncategorized","⚠ Review",IF(IFERROR(LOOKUP(2^15,SEARCH(Rules!$A$2:$A$200&amp;"",$B600)/(Rules!$A$2:$A$200&lt;&gt;""),Rules!$C$2:$C$200),"")&lt;&gt;E600,"⚠ Check sign","OK")))</f>
        <v/>
      </c>
    </row>
    <row r="601" customFormat="false" ht="15" hidden="false" customHeight="false" outlineLevel="0" collapsed="false">
      <c r="A601" s="3"/>
      <c r="B601" s="3"/>
      <c r="C601" s="3"/>
      <c r="D601" s="3" t="str">
        <f aca="false">IF($B601="","",IFERROR(LOOKUP(2^15,SEARCH(Rules!$A$2:$A$200&amp;"",$B601)/(Rules!$A$2:$A$200&lt;&gt;""),Rules!$B$2:$B$200),"Uncategorized"))</f>
        <v/>
      </c>
      <c r="E601" s="3" t="str">
        <f aca="false">IF($B601="","",IF($C601&gt;=0,"Income","Expense"))</f>
        <v/>
      </c>
      <c r="F601" s="3" t="str">
        <f aca="false">IF($B601="","",IFERROR(LOOKUP(2^15,SEARCH(Rules!$A$2:$A$200&amp;"",$B601)/(Rules!$A$2:$A$200&lt;&gt;""),Rules!$A$2:$A$200),""))</f>
        <v/>
      </c>
      <c r="G601" s="3" t="str">
        <f aca="false">IF($B601="","",IF(D601="Uncategorized","⚠ Review",IF(IFERROR(LOOKUP(2^15,SEARCH(Rules!$A$2:$A$200&amp;"",$B601)/(Rules!$A$2:$A$200&lt;&gt;""),Rules!$C$2:$C$200),"")&lt;&gt;E601,"⚠ Check sign","OK")))</f>
        <v/>
      </c>
    </row>
    <row r="602" customFormat="false" ht="15" hidden="false" customHeight="false" outlineLevel="0" collapsed="false">
      <c r="A602" s="3"/>
      <c r="B602" s="3"/>
      <c r="C602" s="3"/>
      <c r="D602" s="3" t="str">
        <f aca="false">IF($B602="","",IFERROR(LOOKUP(2^15,SEARCH(Rules!$A$2:$A$200&amp;"",$B602)/(Rules!$A$2:$A$200&lt;&gt;""),Rules!$B$2:$B$200),"Uncategorized"))</f>
        <v/>
      </c>
      <c r="E602" s="3" t="str">
        <f aca="false">IF($B602="","",IF($C602&gt;=0,"Income","Expense"))</f>
        <v/>
      </c>
      <c r="F602" s="3" t="str">
        <f aca="false">IF($B602="","",IFERROR(LOOKUP(2^15,SEARCH(Rules!$A$2:$A$200&amp;"",$B602)/(Rules!$A$2:$A$200&lt;&gt;""),Rules!$A$2:$A$200),""))</f>
        <v/>
      </c>
      <c r="G602" s="3" t="str">
        <f aca="false">IF($B602="","",IF(D602="Uncategorized","⚠ Review",IF(IFERROR(LOOKUP(2^15,SEARCH(Rules!$A$2:$A$200&amp;"",$B602)/(Rules!$A$2:$A$200&lt;&gt;""),Rules!$C$2:$C$200),"")&lt;&gt;E602,"⚠ Check sign","OK")))</f>
        <v/>
      </c>
    </row>
    <row r="603" customFormat="false" ht="15" hidden="false" customHeight="false" outlineLevel="0" collapsed="false">
      <c r="A603" s="3"/>
      <c r="B603" s="3"/>
      <c r="C603" s="3"/>
      <c r="D603" s="3" t="str">
        <f aca="false">IF($B603="","",IFERROR(LOOKUP(2^15,SEARCH(Rules!$A$2:$A$200&amp;"",$B603)/(Rules!$A$2:$A$200&lt;&gt;""),Rules!$B$2:$B$200),"Uncategorized"))</f>
        <v/>
      </c>
      <c r="E603" s="3" t="str">
        <f aca="false">IF($B603="","",IF($C603&gt;=0,"Income","Expense"))</f>
        <v/>
      </c>
      <c r="F603" s="3" t="str">
        <f aca="false">IF($B603="","",IFERROR(LOOKUP(2^15,SEARCH(Rules!$A$2:$A$200&amp;"",$B603)/(Rules!$A$2:$A$200&lt;&gt;""),Rules!$A$2:$A$200),""))</f>
        <v/>
      </c>
      <c r="G603" s="3" t="str">
        <f aca="false">IF($B603="","",IF(D603="Uncategorized","⚠ Review",IF(IFERROR(LOOKUP(2^15,SEARCH(Rules!$A$2:$A$200&amp;"",$B603)/(Rules!$A$2:$A$200&lt;&gt;""),Rules!$C$2:$C$200),"")&lt;&gt;E603,"⚠ Check sign","OK")))</f>
        <v/>
      </c>
    </row>
    <row r="604" customFormat="false" ht="15" hidden="false" customHeight="false" outlineLevel="0" collapsed="false">
      <c r="A604" s="3"/>
      <c r="B604" s="3"/>
      <c r="C604" s="3"/>
      <c r="D604" s="3" t="str">
        <f aca="false">IF($B604="","",IFERROR(LOOKUP(2^15,SEARCH(Rules!$A$2:$A$200&amp;"",$B604)/(Rules!$A$2:$A$200&lt;&gt;""),Rules!$B$2:$B$200),"Uncategorized"))</f>
        <v/>
      </c>
      <c r="E604" s="3" t="str">
        <f aca="false">IF($B604="","",IF($C604&gt;=0,"Income","Expense"))</f>
        <v/>
      </c>
      <c r="F604" s="3" t="str">
        <f aca="false">IF($B604="","",IFERROR(LOOKUP(2^15,SEARCH(Rules!$A$2:$A$200&amp;"",$B604)/(Rules!$A$2:$A$200&lt;&gt;""),Rules!$A$2:$A$200),""))</f>
        <v/>
      </c>
      <c r="G604" s="3" t="str">
        <f aca="false">IF($B604="","",IF(D604="Uncategorized","⚠ Review",IF(IFERROR(LOOKUP(2^15,SEARCH(Rules!$A$2:$A$200&amp;"",$B604)/(Rules!$A$2:$A$200&lt;&gt;""),Rules!$C$2:$C$200),"")&lt;&gt;E604,"⚠ Check sign","OK")))</f>
        <v/>
      </c>
    </row>
    <row r="605" customFormat="false" ht="15" hidden="false" customHeight="false" outlineLevel="0" collapsed="false">
      <c r="A605" s="3"/>
      <c r="B605" s="3"/>
      <c r="C605" s="3"/>
      <c r="D605" s="3" t="str">
        <f aca="false">IF($B605="","",IFERROR(LOOKUP(2^15,SEARCH(Rules!$A$2:$A$200&amp;"",$B605)/(Rules!$A$2:$A$200&lt;&gt;""),Rules!$B$2:$B$200),"Uncategorized"))</f>
        <v/>
      </c>
      <c r="E605" s="3" t="str">
        <f aca="false">IF($B605="","",IF($C605&gt;=0,"Income","Expense"))</f>
        <v/>
      </c>
      <c r="F605" s="3" t="str">
        <f aca="false">IF($B605="","",IFERROR(LOOKUP(2^15,SEARCH(Rules!$A$2:$A$200&amp;"",$B605)/(Rules!$A$2:$A$200&lt;&gt;""),Rules!$A$2:$A$200),""))</f>
        <v/>
      </c>
      <c r="G605" s="3" t="str">
        <f aca="false">IF($B605="","",IF(D605="Uncategorized","⚠ Review",IF(IFERROR(LOOKUP(2^15,SEARCH(Rules!$A$2:$A$200&amp;"",$B605)/(Rules!$A$2:$A$200&lt;&gt;""),Rules!$C$2:$C$200),"")&lt;&gt;E605,"⚠ Check sign","OK")))</f>
        <v/>
      </c>
    </row>
    <row r="606" customFormat="false" ht="15" hidden="false" customHeight="false" outlineLevel="0" collapsed="false">
      <c r="A606" s="3"/>
      <c r="B606" s="3"/>
      <c r="C606" s="3"/>
      <c r="D606" s="3" t="str">
        <f aca="false">IF($B606="","",IFERROR(LOOKUP(2^15,SEARCH(Rules!$A$2:$A$200&amp;"",$B606)/(Rules!$A$2:$A$200&lt;&gt;""),Rules!$B$2:$B$200),"Uncategorized"))</f>
        <v/>
      </c>
      <c r="E606" s="3" t="str">
        <f aca="false">IF($B606="","",IF($C606&gt;=0,"Income","Expense"))</f>
        <v/>
      </c>
      <c r="F606" s="3" t="str">
        <f aca="false">IF($B606="","",IFERROR(LOOKUP(2^15,SEARCH(Rules!$A$2:$A$200&amp;"",$B606)/(Rules!$A$2:$A$200&lt;&gt;""),Rules!$A$2:$A$200),""))</f>
        <v/>
      </c>
      <c r="G606" s="3" t="str">
        <f aca="false">IF($B606="","",IF(D606="Uncategorized","⚠ Review",IF(IFERROR(LOOKUP(2^15,SEARCH(Rules!$A$2:$A$200&amp;"",$B606)/(Rules!$A$2:$A$200&lt;&gt;""),Rules!$C$2:$C$200),"")&lt;&gt;E606,"⚠ Check sign","OK")))</f>
        <v/>
      </c>
    </row>
    <row r="607" customFormat="false" ht="15" hidden="false" customHeight="false" outlineLevel="0" collapsed="false">
      <c r="A607" s="3"/>
      <c r="B607" s="3"/>
      <c r="C607" s="3"/>
      <c r="D607" s="3" t="str">
        <f aca="false">IF($B607="","",IFERROR(LOOKUP(2^15,SEARCH(Rules!$A$2:$A$200&amp;"",$B607)/(Rules!$A$2:$A$200&lt;&gt;""),Rules!$B$2:$B$200),"Uncategorized"))</f>
        <v/>
      </c>
      <c r="E607" s="3" t="str">
        <f aca="false">IF($B607="","",IF($C607&gt;=0,"Income","Expense"))</f>
        <v/>
      </c>
      <c r="F607" s="3" t="str">
        <f aca="false">IF($B607="","",IFERROR(LOOKUP(2^15,SEARCH(Rules!$A$2:$A$200&amp;"",$B607)/(Rules!$A$2:$A$200&lt;&gt;""),Rules!$A$2:$A$200),""))</f>
        <v/>
      </c>
      <c r="G607" s="3" t="str">
        <f aca="false">IF($B607="","",IF(D607="Uncategorized","⚠ Review",IF(IFERROR(LOOKUP(2^15,SEARCH(Rules!$A$2:$A$200&amp;"",$B607)/(Rules!$A$2:$A$200&lt;&gt;""),Rules!$C$2:$C$200),"")&lt;&gt;E607,"⚠ Check sign","OK")))</f>
        <v/>
      </c>
    </row>
    <row r="608" customFormat="false" ht="15" hidden="false" customHeight="false" outlineLevel="0" collapsed="false">
      <c r="A608" s="3"/>
      <c r="B608" s="3"/>
      <c r="C608" s="3"/>
      <c r="D608" s="3" t="str">
        <f aca="false">IF($B608="","",IFERROR(LOOKUP(2^15,SEARCH(Rules!$A$2:$A$200&amp;"",$B608)/(Rules!$A$2:$A$200&lt;&gt;""),Rules!$B$2:$B$200),"Uncategorized"))</f>
        <v/>
      </c>
      <c r="E608" s="3" t="str">
        <f aca="false">IF($B608="","",IF($C608&gt;=0,"Income","Expense"))</f>
        <v/>
      </c>
      <c r="F608" s="3" t="str">
        <f aca="false">IF($B608="","",IFERROR(LOOKUP(2^15,SEARCH(Rules!$A$2:$A$200&amp;"",$B608)/(Rules!$A$2:$A$200&lt;&gt;""),Rules!$A$2:$A$200),""))</f>
        <v/>
      </c>
      <c r="G608" s="3" t="str">
        <f aca="false">IF($B608="","",IF(D608="Uncategorized","⚠ Review",IF(IFERROR(LOOKUP(2^15,SEARCH(Rules!$A$2:$A$200&amp;"",$B608)/(Rules!$A$2:$A$200&lt;&gt;""),Rules!$C$2:$C$200),"")&lt;&gt;E608,"⚠ Check sign","OK")))</f>
        <v/>
      </c>
    </row>
    <row r="609" customFormat="false" ht="15" hidden="false" customHeight="false" outlineLevel="0" collapsed="false">
      <c r="A609" s="3"/>
      <c r="B609" s="3"/>
      <c r="C609" s="3"/>
      <c r="D609" s="3" t="str">
        <f aca="false">IF($B609="","",IFERROR(LOOKUP(2^15,SEARCH(Rules!$A$2:$A$200&amp;"",$B609)/(Rules!$A$2:$A$200&lt;&gt;""),Rules!$B$2:$B$200),"Uncategorized"))</f>
        <v/>
      </c>
      <c r="E609" s="3" t="str">
        <f aca="false">IF($B609="","",IF($C609&gt;=0,"Income","Expense"))</f>
        <v/>
      </c>
      <c r="F609" s="3" t="str">
        <f aca="false">IF($B609="","",IFERROR(LOOKUP(2^15,SEARCH(Rules!$A$2:$A$200&amp;"",$B609)/(Rules!$A$2:$A$200&lt;&gt;""),Rules!$A$2:$A$200),""))</f>
        <v/>
      </c>
      <c r="G609" s="3" t="str">
        <f aca="false">IF($B609="","",IF(D609="Uncategorized","⚠ Review",IF(IFERROR(LOOKUP(2^15,SEARCH(Rules!$A$2:$A$200&amp;"",$B609)/(Rules!$A$2:$A$200&lt;&gt;""),Rules!$C$2:$C$200),"")&lt;&gt;E609,"⚠ Check sign","OK")))</f>
        <v/>
      </c>
    </row>
    <row r="610" customFormat="false" ht="15" hidden="false" customHeight="false" outlineLevel="0" collapsed="false">
      <c r="A610" s="3"/>
      <c r="B610" s="3"/>
      <c r="C610" s="3"/>
      <c r="D610" s="3" t="str">
        <f aca="false">IF($B610="","",IFERROR(LOOKUP(2^15,SEARCH(Rules!$A$2:$A$200&amp;"",$B610)/(Rules!$A$2:$A$200&lt;&gt;""),Rules!$B$2:$B$200),"Uncategorized"))</f>
        <v/>
      </c>
      <c r="E610" s="3" t="str">
        <f aca="false">IF($B610="","",IF($C610&gt;=0,"Income","Expense"))</f>
        <v/>
      </c>
      <c r="F610" s="3" t="str">
        <f aca="false">IF($B610="","",IFERROR(LOOKUP(2^15,SEARCH(Rules!$A$2:$A$200&amp;"",$B610)/(Rules!$A$2:$A$200&lt;&gt;""),Rules!$A$2:$A$200),""))</f>
        <v/>
      </c>
      <c r="G610" s="3" t="str">
        <f aca="false">IF($B610="","",IF(D610="Uncategorized","⚠ Review",IF(IFERROR(LOOKUP(2^15,SEARCH(Rules!$A$2:$A$200&amp;"",$B610)/(Rules!$A$2:$A$200&lt;&gt;""),Rules!$C$2:$C$200),"")&lt;&gt;E610,"⚠ Check sign","OK")))</f>
        <v/>
      </c>
    </row>
    <row r="611" customFormat="false" ht="15" hidden="false" customHeight="false" outlineLevel="0" collapsed="false">
      <c r="A611" s="3"/>
      <c r="B611" s="3"/>
      <c r="C611" s="3"/>
      <c r="D611" s="3" t="str">
        <f aca="false">IF($B611="","",IFERROR(LOOKUP(2^15,SEARCH(Rules!$A$2:$A$200&amp;"",$B611)/(Rules!$A$2:$A$200&lt;&gt;""),Rules!$B$2:$B$200),"Uncategorized"))</f>
        <v/>
      </c>
      <c r="E611" s="3" t="str">
        <f aca="false">IF($B611="","",IF($C611&gt;=0,"Income","Expense"))</f>
        <v/>
      </c>
      <c r="F611" s="3" t="str">
        <f aca="false">IF($B611="","",IFERROR(LOOKUP(2^15,SEARCH(Rules!$A$2:$A$200&amp;"",$B611)/(Rules!$A$2:$A$200&lt;&gt;""),Rules!$A$2:$A$200),""))</f>
        <v/>
      </c>
      <c r="G611" s="3" t="str">
        <f aca="false">IF($B611="","",IF(D611="Uncategorized","⚠ Review",IF(IFERROR(LOOKUP(2^15,SEARCH(Rules!$A$2:$A$200&amp;"",$B611)/(Rules!$A$2:$A$200&lt;&gt;""),Rules!$C$2:$C$200),"")&lt;&gt;E611,"⚠ Check sign","OK")))</f>
        <v/>
      </c>
    </row>
    <row r="612" customFormat="false" ht="15" hidden="false" customHeight="false" outlineLevel="0" collapsed="false">
      <c r="A612" s="3"/>
      <c r="B612" s="3"/>
      <c r="C612" s="3"/>
      <c r="D612" s="3" t="str">
        <f aca="false">IF($B612="","",IFERROR(LOOKUP(2^15,SEARCH(Rules!$A$2:$A$200&amp;"",$B612)/(Rules!$A$2:$A$200&lt;&gt;""),Rules!$B$2:$B$200),"Uncategorized"))</f>
        <v/>
      </c>
      <c r="E612" s="3" t="str">
        <f aca="false">IF($B612="","",IF($C612&gt;=0,"Income","Expense"))</f>
        <v/>
      </c>
      <c r="F612" s="3" t="str">
        <f aca="false">IF($B612="","",IFERROR(LOOKUP(2^15,SEARCH(Rules!$A$2:$A$200&amp;"",$B612)/(Rules!$A$2:$A$200&lt;&gt;""),Rules!$A$2:$A$200),""))</f>
        <v/>
      </c>
      <c r="G612" s="3" t="str">
        <f aca="false">IF($B612="","",IF(D612="Uncategorized","⚠ Review",IF(IFERROR(LOOKUP(2^15,SEARCH(Rules!$A$2:$A$200&amp;"",$B612)/(Rules!$A$2:$A$200&lt;&gt;""),Rules!$C$2:$C$200),"")&lt;&gt;E612,"⚠ Check sign","OK")))</f>
        <v/>
      </c>
    </row>
    <row r="613" customFormat="false" ht="15" hidden="false" customHeight="false" outlineLevel="0" collapsed="false">
      <c r="A613" s="3"/>
      <c r="B613" s="3"/>
      <c r="C613" s="3"/>
      <c r="D613" s="3" t="str">
        <f aca="false">IF($B613="","",IFERROR(LOOKUP(2^15,SEARCH(Rules!$A$2:$A$200&amp;"",$B613)/(Rules!$A$2:$A$200&lt;&gt;""),Rules!$B$2:$B$200),"Uncategorized"))</f>
        <v/>
      </c>
      <c r="E613" s="3" t="str">
        <f aca="false">IF($B613="","",IF($C613&gt;=0,"Income","Expense"))</f>
        <v/>
      </c>
      <c r="F613" s="3" t="str">
        <f aca="false">IF($B613="","",IFERROR(LOOKUP(2^15,SEARCH(Rules!$A$2:$A$200&amp;"",$B613)/(Rules!$A$2:$A$200&lt;&gt;""),Rules!$A$2:$A$200),""))</f>
        <v/>
      </c>
      <c r="G613" s="3" t="str">
        <f aca="false">IF($B613="","",IF(D613="Uncategorized","⚠ Review",IF(IFERROR(LOOKUP(2^15,SEARCH(Rules!$A$2:$A$200&amp;"",$B613)/(Rules!$A$2:$A$200&lt;&gt;""),Rules!$C$2:$C$200),"")&lt;&gt;E613,"⚠ Check sign","OK")))</f>
        <v/>
      </c>
    </row>
    <row r="614" customFormat="false" ht="15" hidden="false" customHeight="false" outlineLevel="0" collapsed="false">
      <c r="A614" s="3"/>
      <c r="B614" s="3"/>
      <c r="C614" s="3"/>
      <c r="D614" s="3" t="str">
        <f aca="false">IF($B614="","",IFERROR(LOOKUP(2^15,SEARCH(Rules!$A$2:$A$200&amp;"",$B614)/(Rules!$A$2:$A$200&lt;&gt;""),Rules!$B$2:$B$200),"Uncategorized"))</f>
        <v/>
      </c>
      <c r="E614" s="3" t="str">
        <f aca="false">IF($B614="","",IF($C614&gt;=0,"Income","Expense"))</f>
        <v/>
      </c>
      <c r="F614" s="3" t="str">
        <f aca="false">IF($B614="","",IFERROR(LOOKUP(2^15,SEARCH(Rules!$A$2:$A$200&amp;"",$B614)/(Rules!$A$2:$A$200&lt;&gt;""),Rules!$A$2:$A$200),""))</f>
        <v/>
      </c>
      <c r="G614" s="3" t="str">
        <f aca="false">IF($B614="","",IF(D614="Uncategorized","⚠ Review",IF(IFERROR(LOOKUP(2^15,SEARCH(Rules!$A$2:$A$200&amp;"",$B614)/(Rules!$A$2:$A$200&lt;&gt;""),Rules!$C$2:$C$200),"")&lt;&gt;E614,"⚠ Check sign","OK")))</f>
        <v/>
      </c>
    </row>
    <row r="615" customFormat="false" ht="15" hidden="false" customHeight="false" outlineLevel="0" collapsed="false">
      <c r="A615" s="3"/>
      <c r="B615" s="3"/>
      <c r="C615" s="3"/>
      <c r="D615" s="3" t="str">
        <f aca="false">IF($B615="","",IFERROR(LOOKUP(2^15,SEARCH(Rules!$A$2:$A$200&amp;"",$B615)/(Rules!$A$2:$A$200&lt;&gt;""),Rules!$B$2:$B$200),"Uncategorized"))</f>
        <v/>
      </c>
      <c r="E615" s="3" t="str">
        <f aca="false">IF($B615="","",IF($C615&gt;=0,"Income","Expense"))</f>
        <v/>
      </c>
      <c r="F615" s="3" t="str">
        <f aca="false">IF($B615="","",IFERROR(LOOKUP(2^15,SEARCH(Rules!$A$2:$A$200&amp;"",$B615)/(Rules!$A$2:$A$200&lt;&gt;""),Rules!$A$2:$A$200),""))</f>
        <v/>
      </c>
      <c r="G615" s="3" t="str">
        <f aca="false">IF($B615="","",IF(D615="Uncategorized","⚠ Review",IF(IFERROR(LOOKUP(2^15,SEARCH(Rules!$A$2:$A$200&amp;"",$B615)/(Rules!$A$2:$A$200&lt;&gt;""),Rules!$C$2:$C$200),"")&lt;&gt;E615,"⚠ Check sign","OK")))</f>
        <v/>
      </c>
    </row>
    <row r="616" customFormat="false" ht="15" hidden="false" customHeight="false" outlineLevel="0" collapsed="false">
      <c r="A616" s="3"/>
      <c r="B616" s="3"/>
      <c r="C616" s="3"/>
      <c r="D616" s="3" t="str">
        <f aca="false">IF($B616="","",IFERROR(LOOKUP(2^15,SEARCH(Rules!$A$2:$A$200&amp;"",$B616)/(Rules!$A$2:$A$200&lt;&gt;""),Rules!$B$2:$B$200),"Uncategorized"))</f>
        <v/>
      </c>
      <c r="E616" s="3" t="str">
        <f aca="false">IF($B616="","",IF($C616&gt;=0,"Income","Expense"))</f>
        <v/>
      </c>
      <c r="F616" s="3" t="str">
        <f aca="false">IF($B616="","",IFERROR(LOOKUP(2^15,SEARCH(Rules!$A$2:$A$200&amp;"",$B616)/(Rules!$A$2:$A$200&lt;&gt;""),Rules!$A$2:$A$200),""))</f>
        <v/>
      </c>
      <c r="G616" s="3" t="str">
        <f aca="false">IF($B616="","",IF(D616="Uncategorized","⚠ Review",IF(IFERROR(LOOKUP(2^15,SEARCH(Rules!$A$2:$A$200&amp;"",$B616)/(Rules!$A$2:$A$200&lt;&gt;""),Rules!$C$2:$C$200),"")&lt;&gt;E616,"⚠ Check sign","OK")))</f>
        <v/>
      </c>
    </row>
    <row r="617" customFormat="false" ht="15" hidden="false" customHeight="false" outlineLevel="0" collapsed="false">
      <c r="A617" s="3"/>
      <c r="B617" s="3"/>
      <c r="C617" s="3"/>
      <c r="D617" s="3" t="str">
        <f aca="false">IF($B617="","",IFERROR(LOOKUP(2^15,SEARCH(Rules!$A$2:$A$200&amp;"",$B617)/(Rules!$A$2:$A$200&lt;&gt;""),Rules!$B$2:$B$200),"Uncategorized"))</f>
        <v/>
      </c>
      <c r="E617" s="3" t="str">
        <f aca="false">IF($B617="","",IF($C617&gt;=0,"Income","Expense"))</f>
        <v/>
      </c>
      <c r="F617" s="3" t="str">
        <f aca="false">IF($B617="","",IFERROR(LOOKUP(2^15,SEARCH(Rules!$A$2:$A$200&amp;"",$B617)/(Rules!$A$2:$A$200&lt;&gt;""),Rules!$A$2:$A$200),""))</f>
        <v/>
      </c>
      <c r="G617" s="3" t="str">
        <f aca="false">IF($B617="","",IF(D617="Uncategorized","⚠ Review",IF(IFERROR(LOOKUP(2^15,SEARCH(Rules!$A$2:$A$200&amp;"",$B617)/(Rules!$A$2:$A$200&lt;&gt;""),Rules!$C$2:$C$200),"")&lt;&gt;E617,"⚠ Check sign","OK")))</f>
        <v/>
      </c>
    </row>
    <row r="618" customFormat="false" ht="15" hidden="false" customHeight="false" outlineLevel="0" collapsed="false">
      <c r="A618" s="3"/>
      <c r="B618" s="3"/>
      <c r="C618" s="3"/>
      <c r="D618" s="3" t="str">
        <f aca="false">IF($B618="","",IFERROR(LOOKUP(2^15,SEARCH(Rules!$A$2:$A$200&amp;"",$B618)/(Rules!$A$2:$A$200&lt;&gt;""),Rules!$B$2:$B$200),"Uncategorized"))</f>
        <v/>
      </c>
      <c r="E618" s="3" t="str">
        <f aca="false">IF($B618="","",IF($C618&gt;=0,"Income","Expense"))</f>
        <v/>
      </c>
      <c r="F618" s="3" t="str">
        <f aca="false">IF($B618="","",IFERROR(LOOKUP(2^15,SEARCH(Rules!$A$2:$A$200&amp;"",$B618)/(Rules!$A$2:$A$200&lt;&gt;""),Rules!$A$2:$A$200),""))</f>
        <v/>
      </c>
      <c r="G618" s="3" t="str">
        <f aca="false">IF($B618="","",IF(D618="Uncategorized","⚠ Review",IF(IFERROR(LOOKUP(2^15,SEARCH(Rules!$A$2:$A$200&amp;"",$B618)/(Rules!$A$2:$A$200&lt;&gt;""),Rules!$C$2:$C$200),"")&lt;&gt;E618,"⚠ Check sign","OK")))</f>
        <v/>
      </c>
    </row>
    <row r="619" customFormat="false" ht="15" hidden="false" customHeight="false" outlineLevel="0" collapsed="false">
      <c r="A619" s="3"/>
      <c r="B619" s="3"/>
      <c r="C619" s="3"/>
      <c r="D619" s="3" t="str">
        <f aca="false">IF($B619="","",IFERROR(LOOKUP(2^15,SEARCH(Rules!$A$2:$A$200&amp;"",$B619)/(Rules!$A$2:$A$200&lt;&gt;""),Rules!$B$2:$B$200),"Uncategorized"))</f>
        <v/>
      </c>
      <c r="E619" s="3" t="str">
        <f aca="false">IF($B619="","",IF($C619&gt;=0,"Income","Expense"))</f>
        <v/>
      </c>
      <c r="F619" s="3" t="str">
        <f aca="false">IF($B619="","",IFERROR(LOOKUP(2^15,SEARCH(Rules!$A$2:$A$200&amp;"",$B619)/(Rules!$A$2:$A$200&lt;&gt;""),Rules!$A$2:$A$200),""))</f>
        <v/>
      </c>
      <c r="G619" s="3" t="str">
        <f aca="false">IF($B619="","",IF(D619="Uncategorized","⚠ Review",IF(IFERROR(LOOKUP(2^15,SEARCH(Rules!$A$2:$A$200&amp;"",$B619)/(Rules!$A$2:$A$200&lt;&gt;""),Rules!$C$2:$C$200),"")&lt;&gt;E619,"⚠ Check sign","OK")))</f>
        <v/>
      </c>
    </row>
    <row r="620" customFormat="false" ht="15" hidden="false" customHeight="false" outlineLevel="0" collapsed="false">
      <c r="A620" s="3"/>
      <c r="B620" s="3"/>
      <c r="C620" s="3"/>
      <c r="D620" s="3" t="str">
        <f aca="false">IF($B620="","",IFERROR(LOOKUP(2^15,SEARCH(Rules!$A$2:$A$200&amp;"",$B620)/(Rules!$A$2:$A$200&lt;&gt;""),Rules!$B$2:$B$200),"Uncategorized"))</f>
        <v/>
      </c>
      <c r="E620" s="3" t="str">
        <f aca="false">IF($B620="","",IF($C620&gt;=0,"Income","Expense"))</f>
        <v/>
      </c>
      <c r="F620" s="3" t="str">
        <f aca="false">IF($B620="","",IFERROR(LOOKUP(2^15,SEARCH(Rules!$A$2:$A$200&amp;"",$B620)/(Rules!$A$2:$A$200&lt;&gt;""),Rules!$A$2:$A$200),""))</f>
        <v/>
      </c>
      <c r="G620" s="3" t="str">
        <f aca="false">IF($B620="","",IF(D620="Uncategorized","⚠ Review",IF(IFERROR(LOOKUP(2^15,SEARCH(Rules!$A$2:$A$200&amp;"",$B620)/(Rules!$A$2:$A$200&lt;&gt;""),Rules!$C$2:$C$200),"")&lt;&gt;E620,"⚠ Check sign","OK")))</f>
        <v/>
      </c>
    </row>
    <row r="621" customFormat="false" ht="15" hidden="false" customHeight="false" outlineLevel="0" collapsed="false">
      <c r="A621" s="3"/>
      <c r="B621" s="3"/>
      <c r="C621" s="3"/>
      <c r="D621" s="3" t="str">
        <f aca="false">IF($B621="","",IFERROR(LOOKUP(2^15,SEARCH(Rules!$A$2:$A$200&amp;"",$B621)/(Rules!$A$2:$A$200&lt;&gt;""),Rules!$B$2:$B$200),"Uncategorized"))</f>
        <v/>
      </c>
      <c r="E621" s="3" t="str">
        <f aca="false">IF($B621="","",IF($C621&gt;=0,"Income","Expense"))</f>
        <v/>
      </c>
      <c r="F621" s="3" t="str">
        <f aca="false">IF($B621="","",IFERROR(LOOKUP(2^15,SEARCH(Rules!$A$2:$A$200&amp;"",$B621)/(Rules!$A$2:$A$200&lt;&gt;""),Rules!$A$2:$A$200),""))</f>
        <v/>
      </c>
      <c r="G621" s="3" t="str">
        <f aca="false">IF($B621="","",IF(D621="Uncategorized","⚠ Review",IF(IFERROR(LOOKUP(2^15,SEARCH(Rules!$A$2:$A$200&amp;"",$B621)/(Rules!$A$2:$A$200&lt;&gt;""),Rules!$C$2:$C$200),"")&lt;&gt;E621,"⚠ Check sign","OK")))</f>
        <v/>
      </c>
    </row>
    <row r="622" customFormat="false" ht="15" hidden="false" customHeight="false" outlineLevel="0" collapsed="false">
      <c r="A622" s="3"/>
      <c r="B622" s="3"/>
      <c r="C622" s="3"/>
      <c r="D622" s="3" t="str">
        <f aca="false">IF($B622="","",IFERROR(LOOKUP(2^15,SEARCH(Rules!$A$2:$A$200&amp;"",$B622)/(Rules!$A$2:$A$200&lt;&gt;""),Rules!$B$2:$B$200),"Uncategorized"))</f>
        <v/>
      </c>
      <c r="E622" s="3" t="str">
        <f aca="false">IF($B622="","",IF($C622&gt;=0,"Income","Expense"))</f>
        <v/>
      </c>
      <c r="F622" s="3" t="str">
        <f aca="false">IF($B622="","",IFERROR(LOOKUP(2^15,SEARCH(Rules!$A$2:$A$200&amp;"",$B622)/(Rules!$A$2:$A$200&lt;&gt;""),Rules!$A$2:$A$200),""))</f>
        <v/>
      </c>
      <c r="G622" s="3" t="str">
        <f aca="false">IF($B622="","",IF(D622="Uncategorized","⚠ Review",IF(IFERROR(LOOKUP(2^15,SEARCH(Rules!$A$2:$A$200&amp;"",$B622)/(Rules!$A$2:$A$200&lt;&gt;""),Rules!$C$2:$C$200),"")&lt;&gt;E622,"⚠ Check sign","OK")))</f>
        <v/>
      </c>
    </row>
    <row r="623" customFormat="false" ht="15" hidden="false" customHeight="false" outlineLevel="0" collapsed="false">
      <c r="A623" s="3"/>
      <c r="B623" s="3"/>
      <c r="C623" s="3"/>
      <c r="D623" s="3" t="str">
        <f aca="false">IF($B623="","",IFERROR(LOOKUP(2^15,SEARCH(Rules!$A$2:$A$200&amp;"",$B623)/(Rules!$A$2:$A$200&lt;&gt;""),Rules!$B$2:$B$200),"Uncategorized"))</f>
        <v/>
      </c>
      <c r="E623" s="3" t="str">
        <f aca="false">IF($B623="","",IF($C623&gt;=0,"Income","Expense"))</f>
        <v/>
      </c>
      <c r="F623" s="3" t="str">
        <f aca="false">IF($B623="","",IFERROR(LOOKUP(2^15,SEARCH(Rules!$A$2:$A$200&amp;"",$B623)/(Rules!$A$2:$A$200&lt;&gt;""),Rules!$A$2:$A$200),""))</f>
        <v/>
      </c>
      <c r="G623" s="3" t="str">
        <f aca="false">IF($B623="","",IF(D623="Uncategorized","⚠ Review",IF(IFERROR(LOOKUP(2^15,SEARCH(Rules!$A$2:$A$200&amp;"",$B623)/(Rules!$A$2:$A$200&lt;&gt;""),Rules!$C$2:$C$200),"")&lt;&gt;E623,"⚠ Check sign","OK")))</f>
        <v/>
      </c>
    </row>
    <row r="624" customFormat="false" ht="15" hidden="false" customHeight="false" outlineLevel="0" collapsed="false">
      <c r="A624" s="3"/>
      <c r="B624" s="3"/>
      <c r="C624" s="3"/>
      <c r="D624" s="3" t="str">
        <f aca="false">IF($B624="","",IFERROR(LOOKUP(2^15,SEARCH(Rules!$A$2:$A$200&amp;"",$B624)/(Rules!$A$2:$A$200&lt;&gt;""),Rules!$B$2:$B$200),"Uncategorized"))</f>
        <v/>
      </c>
      <c r="E624" s="3" t="str">
        <f aca="false">IF($B624="","",IF($C624&gt;=0,"Income","Expense"))</f>
        <v/>
      </c>
      <c r="F624" s="3" t="str">
        <f aca="false">IF($B624="","",IFERROR(LOOKUP(2^15,SEARCH(Rules!$A$2:$A$200&amp;"",$B624)/(Rules!$A$2:$A$200&lt;&gt;""),Rules!$A$2:$A$200),""))</f>
        <v/>
      </c>
      <c r="G624" s="3" t="str">
        <f aca="false">IF($B624="","",IF(D624="Uncategorized","⚠ Review",IF(IFERROR(LOOKUP(2^15,SEARCH(Rules!$A$2:$A$200&amp;"",$B624)/(Rules!$A$2:$A$200&lt;&gt;""),Rules!$C$2:$C$200),"")&lt;&gt;E624,"⚠ Check sign","OK")))</f>
        <v/>
      </c>
    </row>
    <row r="625" customFormat="false" ht="15" hidden="false" customHeight="false" outlineLevel="0" collapsed="false">
      <c r="A625" s="3"/>
      <c r="B625" s="3"/>
      <c r="C625" s="3"/>
      <c r="D625" s="3" t="str">
        <f aca="false">IF($B625="","",IFERROR(LOOKUP(2^15,SEARCH(Rules!$A$2:$A$200&amp;"",$B625)/(Rules!$A$2:$A$200&lt;&gt;""),Rules!$B$2:$B$200),"Uncategorized"))</f>
        <v/>
      </c>
      <c r="E625" s="3" t="str">
        <f aca="false">IF($B625="","",IF($C625&gt;=0,"Income","Expense"))</f>
        <v/>
      </c>
      <c r="F625" s="3" t="str">
        <f aca="false">IF($B625="","",IFERROR(LOOKUP(2^15,SEARCH(Rules!$A$2:$A$200&amp;"",$B625)/(Rules!$A$2:$A$200&lt;&gt;""),Rules!$A$2:$A$200),""))</f>
        <v/>
      </c>
      <c r="G625" s="3" t="str">
        <f aca="false">IF($B625="","",IF(D625="Uncategorized","⚠ Review",IF(IFERROR(LOOKUP(2^15,SEARCH(Rules!$A$2:$A$200&amp;"",$B625)/(Rules!$A$2:$A$200&lt;&gt;""),Rules!$C$2:$C$200),"")&lt;&gt;E625,"⚠ Check sign","OK")))</f>
        <v/>
      </c>
    </row>
    <row r="626" customFormat="false" ht="15" hidden="false" customHeight="false" outlineLevel="0" collapsed="false">
      <c r="A626" s="3"/>
      <c r="B626" s="3"/>
      <c r="C626" s="3"/>
      <c r="D626" s="3" t="str">
        <f aca="false">IF($B626="","",IFERROR(LOOKUP(2^15,SEARCH(Rules!$A$2:$A$200&amp;"",$B626)/(Rules!$A$2:$A$200&lt;&gt;""),Rules!$B$2:$B$200),"Uncategorized"))</f>
        <v/>
      </c>
      <c r="E626" s="3" t="str">
        <f aca="false">IF($B626="","",IF($C626&gt;=0,"Income","Expense"))</f>
        <v/>
      </c>
      <c r="F626" s="3" t="str">
        <f aca="false">IF($B626="","",IFERROR(LOOKUP(2^15,SEARCH(Rules!$A$2:$A$200&amp;"",$B626)/(Rules!$A$2:$A$200&lt;&gt;""),Rules!$A$2:$A$200),""))</f>
        <v/>
      </c>
      <c r="G626" s="3" t="str">
        <f aca="false">IF($B626="","",IF(D626="Uncategorized","⚠ Review",IF(IFERROR(LOOKUP(2^15,SEARCH(Rules!$A$2:$A$200&amp;"",$B626)/(Rules!$A$2:$A$200&lt;&gt;""),Rules!$C$2:$C$200),"")&lt;&gt;E626,"⚠ Check sign","OK")))</f>
        <v/>
      </c>
    </row>
    <row r="627" customFormat="false" ht="15" hidden="false" customHeight="false" outlineLevel="0" collapsed="false">
      <c r="A627" s="3"/>
      <c r="B627" s="3"/>
      <c r="C627" s="3"/>
      <c r="D627" s="3" t="str">
        <f aca="false">IF($B627="","",IFERROR(LOOKUP(2^15,SEARCH(Rules!$A$2:$A$200&amp;"",$B627)/(Rules!$A$2:$A$200&lt;&gt;""),Rules!$B$2:$B$200),"Uncategorized"))</f>
        <v/>
      </c>
      <c r="E627" s="3" t="str">
        <f aca="false">IF($B627="","",IF($C627&gt;=0,"Income","Expense"))</f>
        <v/>
      </c>
      <c r="F627" s="3" t="str">
        <f aca="false">IF($B627="","",IFERROR(LOOKUP(2^15,SEARCH(Rules!$A$2:$A$200&amp;"",$B627)/(Rules!$A$2:$A$200&lt;&gt;""),Rules!$A$2:$A$200),""))</f>
        <v/>
      </c>
      <c r="G627" s="3" t="str">
        <f aca="false">IF($B627="","",IF(D627="Uncategorized","⚠ Review",IF(IFERROR(LOOKUP(2^15,SEARCH(Rules!$A$2:$A$200&amp;"",$B627)/(Rules!$A$2:$A$200&lt;&gt;""),Rules!$C$2:$C$200),"")&lt;&gt;E627,"⚠ Check sign","OK")))</f>
        <v/>
      </c>
    </row>
    <row r="628" customFormat="false" ht="15" hidden="false" customHeight="false" outlineLevel="0" collapsed="false">
      <c r="A628" s="3"/>
      <c r="B628" s="3"/>
      <c r="C628" s="3"/>
      <c r="D628" s="3" t="str">
        <f aca="false">IF($B628="","",IFERROR(LOOKUP(2^15,SEARCH(Rules!$A$2:$A$200&amp;"",$B628)/(Rules!$A$2:$A$200&lt;&gt;""),Rules!$B$2:$B$200),"Uncategorized"))</f>
        <v/>
      </c>
      <c r="E628" s="3" t="str">
        <f aca="false">IF($B628="","",IF($C628&gt;=0,"Income","Expense"))</f>
        <v/>
      </c>
      <c r="F628" s="3" t="str">
        <f aca="false">IF($B628="","",IFERROR(LOOKUP(2^15,SEARCH(Rules!$A$2:$A$200&amp;"",$B628)/(Rules!$A$2:$A$200&lt;&gt;""),Rules!$A$2:$A$200),""))</f>
        <v/>
      </c>
      <c r="G628" s="3" t="str">
        <f aca="false">IF($B628="","",IF(D628="Uncategorized","⚠ Review",IF(IFERROR(LOOKUP(2^15,SEARCH(Rules!$A$2:$A$200&amp;"",$B628)/(Rules!$A$2:$A$200&lt;&gt;""),Rules!$C$2:$C$200),"")&lt;&gt;E628,"⚠ Check sign","OK")))</f>
        <v/>
      </c>
    </row>
    <row r="629" customFormat="false" ht="15" hidden="false" customHeight="false" outlineLevel="0" collapsed="false">
      <c r="A629" s="3"/>
      <c r="B629" s="3"/>
      <c r="C629" s="3"/>
      <c r="D629" s="3" t="str">
        <f aca="false">IF($B629="","",IFERROR(LOOKUP(2^15,SEARCH(Rules!$A$2:$A$200&amp;"",$B629)/(Rules!$A$2:$A$200&lt;&gt;""),Rules!$B$2:$B$200),"Uncategorized"))</f>
        <v/>
      </c>
      <c r="E629" s="3" t="str">
        <f aca="false">IF($B629="","",IF($C629&gt;=0,"Income","Expense"))</f>
        <v/>
      </c>
      <c r="F629" s="3" t="str">
        <f aca="false">IF($B629="","",IFERROR(LOOKUP(2^15,SEARCH(Rules!$A$2:$A$200&amp;"",$B629)/(Rules!$A$2:$A$200&lt;&gt;""),Rules!$A$2:$A$200),""))</f>
        <v/>
      </c>
      <c r="G629" s="3" t="str">
        <f aca="false">IF($B629="","",IF(D629="Uncategorized","⚠ Review",IF(IFERROR(LOOKUP(2^15,SEARCH(Rules!$A$2:$A$200&amp;"",$B629)/(Rules!$A$2:$A$200&lt;&gt;""),Rules!$C$2:$C$200),"")&lt;&gt;E629,"⚠ Check sign","OK")))</f>
        <v/>
      </c>
    </row>
    <row r="630" customFormat="false" ht="15" hidden="false" customHeight="false" outlineLevel="0" collapsed="false">
      <c r="A630" s="3"/>
      <c r="B630" s="3"/>
      <c r="C630" s="3"/>
      <c r="D630" s="3" t="str">
        <f aca="false">IF($B630="","",IFERROR(LOOKUP(2^15,SEARCH(Rules!$A$2:$A$200&amp;"",$B630)/(Rules!$A$2:$A$200&lt;&gt;""),Rules!$B$2:$B$200),"Uncategorized"))</f>
        <v/>
      </c>
      <c r="E630" s="3" t="str">
        <f aca="false">IF($B630="","",IF($C630&gt;=0,"Income","Expense"))</f>
        <v/>
      </c>
      <c r="F630" s="3" t="str">
        <f aca="false">IF($B630="","",IFERROR(LOOKUP(2^15,SEARCH(Rules!$A$2:$A$200&amp;"",$B630)/(Rules!$A$2:$A$200&lt;&gt;""),Rules!$A$2:$A$200),""))</f>
        <v/>
      </c>
      <c r="G630" s="3" t="str">
        <f aca="false">IF($B630="","",IF(D630="Uncategorized","⚠ Review",IF(IFERROR(LOOKUP(2^15,SEARCH(Rules!$A$2:$A$200&amp;"",$B630)/(Rules!$A$2:$A$200&lt;&gt;""),Rules!$C$2:$C$200),"")&lt;&gt;E630,"⚠ Check sign","OK")))</f>
        <v/>
      </c>
    </row>
    <row r="631" customFormat="false" ht="15" hidden="false" customHeight="false" outlineLevel="0" collapsed="false">
      <c r="A631" s="3"/>
      <c r="B631" s="3"/>
      <c r="C631" s="3"/>
      <c r="D631" s="3" t="str">
        <f aca="false">IF($B631="","",IFERROR(LOOKUP(2^15,SEARCH(Rules!$A$2:$A$200&amp;"",$B631)/(Rules!$A$2:$A$200&lt;&gt;""),Rules!$B$2:$B$200),"Uncategorized"))</f>
        <v/>
      </c>
      <c r="E631" s="3" t="str">
        <f aca="false">IF($B631="","",IF($C631&gt;=0,"Income","Expense"))</f>
        <v/>
      </c>
      <c r="F631" s="3" t="str">
        <f aca="false">IF($B631="","",IFERROR(LOOKUP(2^15,SEARCH(Rules!$A$2:$A$200&amp;"",$B631)/(Rules!$A$2:$A$200&lt;&gt;""),Rules!$A$2:$A$200),""))</f>
        <v/>
      </c>
      <c r="G631" s="3" t="str">
        <f aca="false">IF($B631="","",IF(D631="Uncategorized","⚠ Review",IF(IFERROR(LOOKUP(2^15,SEARCH(Rules!$A$2:$A$200&amp;"",$B631)/(Rules!$A$2:$A$200&lt;&gt;""),Rules!$C$2:$C$200),"")&lt;&gt;E631,"⚠ Check sign","OK")))</f>
        <v/>
      </c>
    </row>
    <row r="632" customFormat="false" ht="15" hidden="false" customHeight="false" outlineLevel="0" collapsed="false">
      <c r="A632" s="3"/>
      <c r="B632" s="3"/>
      <c r="C632" s="3"/>
      <c r="D632" s="3" t="str">
        <f aca="false">IF($B632="","",IFERROR(LOOKUP(2^15,SEARCH(Rules!$A$2:$A$200&amp;"",$B632)/(Rules!$A$2:$A$200&lt;&gt;""),Rules!$B$2:$B$200),"Uncategorized"))</f>
        <v/>
      </c>
      <c r="E632" s="3" t="str">
        <f aca="false">IF($B632="","",IF($C632&gt;=0,"Income","Expense"))</f>
        <v/>
      </c>
      <c r="F632" s="3" t="str">
        <f aca="false">IF($B632="","",IFERROR(LOOKUP(2^15,SEARCH(Rules!$A$2:$A$200&amp;"",$B632)/(Rules!$A$2:$A$200&lt;&gt;""),Rules!$A$2:$A$200),""))</f>
        <v/>
      </c>
      <c r="G632" s="3" t="str">
        <f aca="false">IF($B632="","",IF(D632="Uncategorized","⚠ Review",IF(IFERROR(LOOKUP(2^15,SEARCH(Rules!$A$2:$A$200&amp;"",$B632)/(Rules!$A$2:$A$200&lt;&gt;""),Rules!$C$2:$C$200),"")&lt;&gt;E632,"⚠ Check sign","OK")))</f>
        <v/>
      </c>
    </row>
    <row r="633" customFormat="false" ht="15" hidden="false" customHeight="false" outlineLevel="0" collapsed="false">
      <c r="A633" s="3"/>
      <c r="B633" s="3"/>
      <c r="C633" s="3"/>
      <c r="D633" s="3" t="str">
        <f aca="false">IF($B633="","",IFERROR(LOOKUP(2^15,SEARCH(Rules!$A$2:$A$200&amp;"",$B633)/(Rules!$A$2:$A$200&lt;&gt;""),Rules!$B$2:$B$200),"Uncategorized"))</f>
        <v/>
      </c>
      <c r="E633" s="3" t="str">
        <f aca="false">IF($B633="","",IF($C633&gt;=0,"Income","Expense"))</f>
        <v/>
      </c>
      <c r="F633" s="3" t="str">
        <f aca="false">IF($B633="","",IFERROR(LOOKUP(2^15,SEARCH(Rules!$A$2:$A$200&amp;"",$B633)/(Rules!$A$2:$A$200&lt;&gt;""),Rules!$A$2:$A$200),""))</f>
        <v/>
      </c>
      <c r="G633" s="3" t="str">
        <f aca="false">IF($B633="","",IF(D633="Uncategorized","⚠ Review",IF(IFERROR(LOOKUP(2^15,SEARCH(Rules!$A$2:$A$200&amp;"",$B633)/(Rules!$A$2:$A$200&lt;&gt;""),Rules!$C$2:$C$200),"")&lt;&gt;E633,"⚠ Check sign","OK")))</f>
        <v/>
      </c>
    </row>
    <row r="634" customFormat="false" ht="15" hidden="false" customHeight="false" outlineLevel="0" collapsed="false">
      <c r="A634" s="3"/>
      <c r="B634" s="3"/>
      <c r="C634" s="3"/>
      <c r="D634" s="3" t="str">
        <f aca="false">IF($B634="","",IFERROR(LOOKUP(2^15,SEARCH(Rules!$A$2:$A$200&amp;"",$B634)/(Rules!$A$2:$A$200&lt;&gt;""),Rules!$B$2:$B$200),"Uncategorized"))</f>
        <v/>
      </c>
      <c r="E634" s="3" t="str">
        <f aca="false">IF($B634="","",IF($C634&gt;=0,"Income","Expense"))</f>
        <v/>
      </c>
      <c r="F634" s="3" t="str">
        <f aca="false">IF($B634="","",IFERROR(LOOKUP(2^15,SEARCH(Rules!$A$2:$A$200&amp;"",$B634)/(Rules!$A$2:$A$200&lt;&gt;""),Rules!$A$2:$A$200),""))</f>
        <v/>
      </c>
      <c r="G634" s="3" t="str">
        <f aca="false">IF($B634="","",IF(D634="Uncategorized","⚠ Review",IF(IFERROR(LOOKUP(2^15,SEARCH(Rules!$A$2:$A$200&amp;"",$B634)/(Rules!$A$2:$A$200&lt;&gt;""),Rules!$C$2:$C$200),"")&lt;&gt;E634,"⚠ Check sign","OK")))</f>
        <v/>
      </c>
    </row>
    <row r="635" customFormat="false" ht="15" hidden="false" customHeight="false" outlineLevel="0" collapsed="false">
      <c r="A635" s="3"/>
      <c r="B635" s="3"/>
      <c r="C635" s="3"/>
      <c r="D635" s="3" t="str">
        <f aca="false">IF($B635="","",IFERROR(LOOKUP(2^15,SEARCH(Rules!$A$2:$A$200&amp;"",$B635)/(Rules!$A$2:$A$200&lt;&gt;""),Rules!$B$2:$B$200),"Uncategorized"))</f>
        <v/>
      </c>
      <c r="E635" s="3" t="str">
        <f aca="false">IF($B635="","",IF($C635&gt;=0,"Income","Expense"))</f>
        <v/>
      </c>
      <c r="F635" s="3" t="str">
        <f aca="false">IF($B635="","",IFERROR(LOOKUP(2^15,SEARCH(Rules!$A$2:$A$200&amp;"",$B635)/(Rules!$A$2:$A$200&lt;&gt;""),Rules!$A$2:$A$200),""))</f>
        <v/>
      </c>
      <c r="G635" s="3" t="str">
        <f aca="false">IF($B635="","",IF(D635="Uncategorized","⚠ Review",IF(IFERROR(LOOKUP(2^15,SEARCH(Rules!$A$2:$A$200&amp;"",$B635)/(Rules!$A$2:$A$200&lt;&gt;""),Rules!$C$2:$C$200),"")&lt;&gt;E635,"⚠ Check sign","OK")))</f>
        <v/>
      </c>
    </row>
    <row r="636" customFormat="false" ht="15" hidden="false" customHeight="false" outlineLevel="0" collapsed="false">
      <c r="A636" s="3"/>
      <c r="B636" s="3"/>
      <c r="C636" s="3"/>
      <c r="D636" s="3" t="str">
        <f aca="false">IF($B636="","",IFERROR(LOOKUP(2^15,SEARCH(Rules!$A$2:$A$200&amp;"",$B636)/(Rules!$A$2:$A$200&lt;&gt;""),Rules!$B$2:$B$200),"Uncategorized"))</f>
        <v/>
      </c>
      <c r="E636" s="3" t="str">
        <f aca="false">IF($B636="","",IF($C636&gt;=0,"Income","Expense"))</f>
        <v/>
      </c>
      <c r="F636" s="3" t="str">
        <f aca="false">IF($B636="","",IFERROR(LOOKUP(2^15,SEARCH(Rules!$A$2:$A$200&amp;"",$B636)/(Rules!$A$2:$A$200&lt;&gt;""),Rules!$A$2:$A$200),""))</f>
        <v/>
      </c>
      <c r="G636" s="3" t="str">
        <f aca="false">IF($B636="","",IF(D636="Uncategorized","⚠ Review",IF(IFERROR(LOOKUP(2^15,SEARCH(Rules!$A$2:$A$200&amp;"",$B636)/(Rules!$A$2:$A$200&lt;&gt;""),Rules!$C$2:$C$200),"")&lt;&gt;E636,"⚠ Check sign","OK")))</f>
        <v/>
      </c>
    </row>
    <row r="637" customFormat="false" ht="15" hidden="false" customHeight="false" outlineLevel="0" collapsed="false">
      <c r="A637" s="3"/>
      <c r="B637" s="3"/>
      <c r="C637" s="3"/>
      <c r="D637" s="3" t="str">
        <f aca="false">IF($B637="","",IFERROR(LOOKUP(2^15,SEARCH(Rules!$A$2:$A$200&amp;"",$B637)/(Rules!$A$2:$A$200&lt;&gt;""),Rules!$B$2:$B$200),"Uncategorized"))</f>
        <v/>
      </c>
      <c r="E637" s="3" t="str">
        <f aca="false">IF($B637="","",IF($C637&gt;=0,"Income","Expense"))</f>
        <v/>
      </c>
      <c r="F637" s="3" t="str">
        <f aca="false">IF($B637="","",IFERROR(LOOKUP(2^15,SEARCH(Rules!$A$2:$A$200&amp;"",$B637)/(Rules!$A$2:$A$200&lt;&gt;""),Rules!$A$2:$A$200),""))</f>
        <v/>
      </c>
      <c r="G637" s="3" t="str">
        <f aca="false">IF($B637="","",IF(D637="Uncategorized","⚠ Review",IF(IFERROR(LOOKUP(2^15,SEARCH(Rules!$A$2:$A$200&amp;"",$B637)/(Rules!$A$2:$A$200&lt;&gt;""),Rules!$C$2:$C$200),"")&lt;&gt;E637,"⚠ Check sign","OK")))</f>
        <v/>
      </c>
    </row>
    <row r="638" customFormat="false" ht="15" hidden="false" customHeight="false" outlineLevel="0" collapsed="false">
      <c r="A638" s="3"/>
      <c r="B638" s="3"/>
      <c r="C638" s="3"/>
      <c r="D638" s="3" t="str">
        <f aca="false">IF($B638="","",IFERROR(LOOKUP(2^15,SEARCH(Rules!$A$2:$A$200&amp;"",$B638)/(Rules!$A$2:$A$200&lt;&gt;""),Rules!$B$2:$B$200),"Uncategorized"))</f>
        <v/>
      </c>
      <c r="E638" s="3" t="str">
        <f aca="false">IF($B638="","",IF($C638&gt;=0,"Income","Expense"))</f>
        <v/>
      </c>
      <c r="F638" s="3" t="str">
        <f aca="false">IF($B638="","",IFERROR(LOOKUP(2^15,SEARCH(Rules!$A$2:$A$200&amp;"",$B638)/(Rules!$A$2:$A$200&lt;&gt;""),Rules!$A$2:$A$200),""))</f>
        <v/>
      </c>
      <c r="G638" s="3" t="str">
        <f aca="false">IF($B638="","",IF(D638="Uncategorized","⚠ Review",IF(IFERROR(LOOKUP(2^15,SEARCH(Rules!$A$2:$A$200&amp;"",$B638)/(Rules!$A$2:$A$200&lt;&gt;""),Rules!$C$2:$C$200),"")&lt;&gt;E638,"⚠ Check sign","OK")))</f>
        <v/>
      </c>
    </row>
    <row r="639" customFormat="false" ht="15" hidden="false" customHeight="false" outlineLevel="0" collapsed="false">
      <c r="A639" s="3"/>
      <c r="B639" s="3"/>
      <c r="C639" s="3"/>
      <c r="D639" s="3" t="str">
        <f aca="false">IF($B639="","",IFERROR(LOOKUP(2^15,SEARCH(Rules!$A$2:$A$200&amp;"",$B639)/(Rules!$A$2:$A$200&lt;&gt;""),Rules!$B$2:$B$200),"Uncategorized"))</f>
        <v/>
      </c>
      <c r="E639" s="3" t="str">
        <f aca="false">IF($B639="","",IF($C639&gt;=0,"Income","Expense"))</f>
        <v/>
      </c>
      <c r="F639" s="3" t="str">
        <f aca="false">IF($B639="","",IFERROR(LOOKUP(2^15,SEARCH(Rules!$A$2:$A$200&amp;"",$B639)/(Rules!$A$2:$A$200&lt;&gt;""),Rules!$A$2:$A$200),""))</f>
        <v/>
      </c>
      <c r="G639" s="3" t="str">
        <f aca="false">IF($B639="","",IF(D639="Uncategorized","⚠ Review",IF(IFERROR(LOOKUP(2^15,SEARCH(Rules!$A$2:$A$200&amp;"",$B639)/(Rules!$A$2:$A$200&lt;&gt;""),Rules!$C$2:$C$200),"")&lt;&gt;E639,"⚠ Check sign","OK")))</f>
        <v/>
      </c>
    </row>
    <row r="640" customFormat="false" ht="15" hidden="false" customHeight="false" outlineLevel="0" collapsed="false">
      <c r="A640" s="3"/>
      <c r="B640" s="3"/>
      <c r="C640" s="3"/>
      <c r="D640" s="3" t="str">
        <f aca="false">IF($B640="","",IFERROR(LOOKUP(2^15,SEARCH(Rules!$A$2:$A$200&amp;"",$B640)/(Rules!$A$2:$A$200&lt;&gt;""),Rules!$B$2:$B$200),"Uncategorized"))</f>
        <v/>
      </c>
      <c r="E640" s="3" t="str">
        <f aca="false">IF($B640="","",IF($C640&gt;=0,"Income","Expense"))</f>
        <v/>
      </c>
      <c r="F640" s="3" t="str">
        <f aca="false">IF($B640="","",IFERROR(LOOKUP(2^15,SEARCH(Rules!$A$2:$A$200&amp;"",$B640)/(Rules!$A$2:$A$200&lt;&gt;""),Rules!$A$2:$A$200),""))</f>
        <v/>
      </c>
      <c r="G640" s="3" t="str">
        <f aca="false">IF($B640="","",IF(D640="Uncategorized","⚠ Review",IF(IFERROR(LOOKUP(2^15,SEARCH(Rules!$A$2:$A$200&amp;"",$B640)/(Rules!$A$2:$A$200&lt;&gt;""),Rules!$C$2:$C$200),"")&lt;&gt;E640,"⚠ Check sign","OK")))</f>
        <v/>
      </c>
    </row>
    <row r="641" customFormat="false" ht="15" hidden="false" customHeight="false" outlineLevel="0" collapsed="false">
      <c r="A641" s="3"/>
      <c r="B641" s="3"/>
      <c r="C641" s="3"/>
      <c r="D641" s="3" t="str">
        <f aca="false">IF($B641="","",IFERROR(LOOKUP(2^15,SEARCH(Rules!$A$2:$A$200&amp;"",$B641)/(Rules!$A$2:$A$200&lt;&gt;""),Rules!$B$2:$B$200),"Uncategorized"))</f>
        <v/>
      </c>
      <c r="E641" s="3" t="str">
        <f aca="false">IF($B641="","",IF($C641&gt;=0,"Income","Expense"))</f>
        <v/>
      </c>
      <c r="F641" s="3" t="str">
        <f aca="false">IF($B641="","",IFERROR(LOOKUP(2^15,SEARCH(Rules!$A$2:$A$200&amp;"",$B641)/(Rules!$A$2:$A$200&lt;&gt;""),Rules!$A$2:$A$200),""))</f>
        <v/>
      </c>
      <c r="G641" s="3" t="str">
        <f aca="false">IF($B641="","",IF(D641="Uncategorized","⚠ Review",IF(IFERROR(LOOKUP(2^15,SEARCH(Rules!$A$2:$A$200&amp;"",$B641)/(Rules!$A$2:$A$200&lt;&gt;""),Rules!$C$2:$C$200),"")&lt;&gt;E641,"⚠ Check sign","OK")))</f>
        <v/>
      </c>
    </row>
    <row r="642" customFormat="false" ht="15" hidden="false" customHeight="false" outlineLevel="0" collapsed="false">
      <c r="A642" s="3"/>
      <c r="B642" s="3"/>
      <c r="C642" s="3"/>
      <c r="D642" s="3" t="str">
        <f aca="false">IF($B642="","",IFERROR(LOOKUP(2^15,SEARCH(Rules!$A$2:$A$200&amp;"",$B642)/(Rules!$A$2:$A$200&lt;&gt;""),Rules!$B$2:$B$200),"Uncategorized"))</f>
        <v/>
      </c>
      <c r="E642" s="3" t="str">
        <f aca="false">IF($B642="","",IF($C642&gt;=0,"Income","Expense"))</f>
        <v/>
      </c>
      <c r="F642" s="3" t="str">
        <f aca="false">IF($B642="","",IFERROR(LOOKUP(2^15,SEARCH(Rules!$A$2:$A$200&amp;"",$B642)/(Rules!$A$2:$A$200&lt;&gt;""),Rules!$A$2:$A$200),""))</f>
        <v/>
      </c>
      <c r="G642" s="3" t="str">
        <f aca="false">IF($B642="","",IF(D642="Uncategorized","⚠ Review",IF(IFERROR(LOOKUP(2^15,SEARCH(Rules!$A$2:$A$200&amp;"",$B642)/(Rules!$A$2:$A$200&lt;&gt;""),Rules!$C$2:$C$200),"")&lt;&gt;E642,"⚠ Check sign","OK")))</f>
        <v/>
      </c>
    </row>
    <row r="643" customFormat="false" ht="15" hidden="false" customHeight="false" outlineLevel="0" collapsed="false">
      <c r="A643" s="3"/>
      <c r="B643" s="3"/>
      <c r="C643" s="3"/>
      <c r="D643" s="3" t="str">
        <f aca="false">IF($B643="","",IFERROR(LOOKUP(2^15,SEARCH(Rules!$A$2:$A$200&amp;"",$B643)/(Rules!$A$2:$A$200&lt;&gt;""),Rules!$B$2:$B$200),"Uncategorized"))</f>
        <v/>
      </c>
      <c r="E643" s="3" t="str">
        <f aca="false">IF($B643="","",IF($C643&gt;=0,"Income","Expense"))</f>
        <v/>
      </c>
      <c r="F643" s="3" t="str">
        <f aca="false">IF($B643="","",IFERROR(LOOKUP(2^15,SEARCH(Rules!$A$2:$A$200&amp;"",$B643)/(Rules!$A$2:$A$200&lt;&gt;""),Rules!$A$2:$A$200),""))</f>
        <v/>
      </c>
      <c r="G643" s="3" t="str">
        <f aca="false">IF($B643="","",IF(D643="Uncategorized","⚠ Review",IF(IFERROR(LOOKUP(2^15,SEARCH(Rules!$A$2:$A$200&amp;"",$B643)/(Rules!$A$2:$A$200&lt;&gt;""),Rules!$C$2:$C$200),"")&lt;&gt;E643,"⚠ Check sign","OK")))</f>
        <v/>
      </c>
    </row>
    <row r="644" customFormat="false" ht="15" hidden="false" customHeight="false" outlineLevel="0" collapsed="false">
      <c r="A644" s="3"/>
      <c r="B644" s="3"/>
      <c r="C644" s="3"/>
      <c r="D644" s="3" t="str">
        <f aca="false">IF($B644="","",IFERROR(LOOKUP(2^15,SEARCH(Rules!$A$2:$A$200&amp;"",$B644)/(Rules!$A$2:$A$200&lt;&gt;""),Rules!$B$2:$B$200),"Uncategorized"))</f>
        <v/>
      </c>
      <c r="E644" s="3" t="str">
        <f aca="false">IF($B644="","",IF($C644&gt;=0,"Income","Expense"))</f>
        <v/>
      </c>
      <c r="F644" s="3" t="str">
        <f aca="false">IF($B644="","",IFERROR(LOOKUP(2^15,SEARCH(Rules!$A$2:$A$200&amp;"",$B644)/(Rules!$A$2:$A$200&lt;&gt;""),Rules!$A$2:$A$200),""))</f>
        <v/>
      </c>
      <c r="G644" s="3" t="str">
        <f aca="false">IF($B644="","",IF(D644="Uncategorized","⚠ Review",IF(IFERROR(LOOKUP(2^15,SEARCH(Rules!$A$2:$A$200&amp;"",$B644)/(Rules!$A$2:$A$200&lt;&gt;""),Rules!$C$2:$C$200),"")&lt;&gt;E644,"⚠ Check sign","OK")))</f>
        <v/>
      </c>
    </row>
    <row r="645" customFormat="false" ht="15" hidden="false" customHeight="false" outlineLevel="0" collapsed="false">
      <c r="A645" s="3"/>
      <c r="B645" s="3"/>
      <c r="C645" s="3"/>
      <c r="D645" s="3" t="str">
        <f aca="false">IF($B645="","",IFERROR(LOOKUP(2^15,SEARCH(Rules!$A$2:$A$200&amp;"",$B645)/(Rules!$A$2:$A$200&lt;&gt;""),Rules!$B$2:$B$200),"Uncategorized"))</f>
        <v/>
      </c>
      <c r="E645" s="3" t="str">
        <f aca="false">IF($B645="","",IF($C645&gt;=0,"Income","Expense"))</f>
        <v/>
      </c>
      <c r="F645" s="3" t="str">
        <f aca="false">IF($B645="","",IFERROR(LOOKUP(2^15,SEARCH(Rules!$A$2:$A$200&amp;"",$B645)/(Rules!$A$2:$A$200&lt;&gt;""),Rules!$A$2:$A$200),""))</f>
        <v/>
      </c>
      <c r="G645" s="3" t="str">
        <f aca="false">IF($B645="","",IF(D645="Uncategorized","⚠ Review",IF(IFERROR(LOOKUP(2^15,SEARCH(Rules!$A$2:$A$200&amp;"",$B645)/(Rules!$A$2:$A$200&lt;&gt;""),Rules!$C$2:$C$200),"")&lt;&gt;E645,"⚠ Check sign","OK")))</f>
        <v/>
      </c>
    </row>
    <row r="646" customFormat="false" ht="15" hidden="false" customHeight="false" outlineLevel="0" collapsed="false">
      <c r="A646" s="3"/>
      <c r="B646" s="3"/>
      <c r="C646" s="3"/>
      <c r="D646" s="3" t="str">
        <f aca="false">IF($B646="","",IFERROR(LOOKUP(2^15,SEARCH(Rules!$A$2:$A$200&amp;"",$B646)/(Rules!$A$2:$A$200&lt;&gt;""),Rules!$B$2:$B$200),"Uncategorized"))</f>
        <v/>
      </c>
      <c r="E646" s="3" t="str">
        <f aca="false">IF($B646="","",IF($C646&gt;=0,"Income","Expense"))</f>
        <v/>
      </c>
      <c r="F646" s="3" t="str">
        <f aca="false">IF($B646="","",IFERROR(LOOKUP(2^15,SEARCH(Rules!$A$2:$A$200&amp;"",$B646)/(Rules!$A$2:$A$200&lt;&gt;""),Rules!$A$2:$A$200),""))</f>
        <v/>
      </c>
      <c r="G646" s="3" t="str">
        <f aca="false">IF($B646="","",IF(D646="Uncategorized","⚠ Review",IF(IFERROR(LOOKUP(2^15,SEARCH(Rules!$A$2:$A$200&amp;"",$B646)/(Rules!$A$2:$A$200&lt;&gt;""),Rules!$C$2:$C$200),"")&lt;&gt;E646,"⚠ Check sign","OK")))</f>
        <v/>
      </c>
    </row>
    <row r="647" customFormat="false" ht="15" hidden="false" customHeight="false" outlineLevel="0" collapsed="false">
      <c r="A647" s="3"/>
      <c r="B647" s="3"/>
      <c r="C647" s="3"/>
      <c r="D647" s="3" t="str">
        <f aca="false">IF($B647="","",IFERROR(LOOKUP(2^15,SEARCH(Rules!$A$2:$A$200&amp;"",$B647)/(Rules!$A$2:$A$200&lt;&gt;""),Rules!$B$2:$B$200),"Uncategorized"))</f>
        <v/>
      </c>
      <c r="E647" s="3" t="str">
        <f aca="false">IF($B647="","",IF($C647&gt;=0,"Income","Expense"))</f>
        <v/>
      </c>
      <c r="F647" s="3" t="str">
        <f aca="false">IF($B647="","",IFERROR(LOOKUP(2^15,SEARCH(Rules!$A$2:$A$200&amp;"",$B647)/(Rules!$A$2:$A$200&lt;&gt;""),Rules!$A$2:$A$200),""))</f>
        <v/>
      </c>
      <c r="G647" s="3" t="str">
        <f aca="false">IF($B647="","",IF(D647="Uncategorized","⚠ Review",IF(IFERROR(LOOKUP(2^15,SEARCH(Rules!$A$2:$A$200&amp;"",$B647)/(Rules!$A$2:$A$200&lt;&gt;""),Rules!$C$2:$C$200),"")&lt;&gt;E647,"⚠ Check sign","OK")))</f>
        <v/>
      </c>
    </row>
    <row r="648" customFormat="false" ht="15" hidden="false" customHeight="false" outlineLevel="0" collapsed="false">
      <c r="A648" s="3"/>
      <c r="B648" s="3"/>
      <c r="C648" s="3"/>
      <c r="D648" s="3" t="str">
        <f aca="false">IF($B648="","",IFERROR(LOOKUP(2^15,SEARCH(Rules!$A$2:$A$200&amp;"",$B648)/(Rules!$A$2:$A$200&lt;&gt;""),Rules!$B$2:$B$200),"Uncategorized"))</f>
        <v/>
      </c>
      <c r="E648" s="3" t="str">
        <f aca="false">IF($B648="","",IF($C648&gt;=0,"Income","Expense"))</f>
        <v/>
      </c>
      <c r="F648" s="3" t="str">
        <f aca="false">IF($B648="","",IFERROR(LOOKUP(2^15,SEARCH(Rules!$A$2:$A$200&amp;"",$B648)/(Rules!$A$2:$A$200&lt;&gt;""),Rules!$A$2:$A$200),""))</f>
        <v/>
      </c>
      <c r="G648" s="3" t="str">
        <f aca="false">IF($B648="","",IF(D648="Uncategorized","⚠ Review",IF(IFERROR(LOOKUP(2^15,SEARCH(Rules!$A$2:$A$200&amp;"",$B648)/(Rules!$A$2:$A$200&lt;&gt;""),Rules!$C$2:$C$200),"")&lt;&gt;E648,"⚠ Check sign","OK")))</f>
        <v/>
      </c>
    </row>
    <row r="649" customFormat="false" ht="15" hidden="false" customHeight="false" outlineLevel="0" collapsed="false">
      <c r="A649" s="3"/>
      <c r="B649" s="3"/>
      <c r="C649" s="3"/>
      <c r="D649" s="3" t="str">
        <f aca="false">IF($B649="","",IFERROR(LOOKUP(2^15,SEARCH(Rules!$A$2:$A$200&amp;"",$B649)/(Rules!$A$2:$A$200&lt;&gt;""),Rules!$B$2:$B$200),"Uncategorized"))</f>
        <v/>
      </c>
      <c r="E649" s="3" t="str">
        <f aca="false">IF($B649="","",IF($C649&gt;=0,"Income","Expense"))</f>
        <v/>
      </c>
      <c r="F649" s="3" t="str">
        <f aca="false">IF($B649="","",IFERROR(LOOKUP(2^15,SEARCH(Rules!$A$2:$A$200&amp;"",$B649)/(Rules!$A$2:$A$200&lt;&gt;""),Rules!$A$2:$A$200),""))</f>
        <v/>
      </c>
      <c r="G649" s="3" t="str">
        <f aca="false">IF($B649="","",IF(D649="Uncategorized","⚠ Review",IF(IFERROR(LOOKUP(2^15,SEARCH(Rules!$A$2:$A$200&amp;"",$B649)/(Rules!$A$2:$A$200&lt;&gt;""),Rules!$C$2:$C$200),"")&lt;&gt;E649,"⚠ Check sign","OK")))</f>
        <v/>
      </c>
    </row>
    <row r="650" customFormat="false" ht="15" hidden="false" customHeight="false" outlineLevel="0" collapsed="false">
      <c r="A650" s="3"/>
      <c r="B650" s="3"/>
      <c r="C650" s="3"/>
      <c r="D650" s="3" t="str">
        <f aca="false">IF($B650="","",IFERROR(LOOKUP(2^15,SEARCH(Rules!$A$2:$A$200&amp;"",$B650)/(Rules!$A$2:$A$200&lt;&gt;""),Rules!$B$2:$B$200),"Uncategorized"))</f>
        <v/>
      </c>
      <c r="E650" s="3" t="str">
        <f aca="false">IF($B650="","",IF($C650&gt;=0,"Income","Expense"))</f>
        <v/>
      </c>
      <c r="F650" s="3" t="str">
        <f aca="false">IF($B650="","",IFERROR(LOOKUP(2^15,SEARCH(Rules!$A$2:$A$200&amp;"",$B650)/(Rules!$A$2:$A$200&lt;&gt;""),Rules!$A$2:$A$200),""))</f>
        <v/>
      </c>
      <c r="G650" s="3" t="str">
        <f aca="false">IF($B650="","",IF(D650="Uncategorized","⚠ Review",IF(IFERROR(LOOKUP(2^15,SEARCH(Rules!$A$2:$A$200&amp;"",$B650)/(Rules!$A$2:$A$200&lt;&gt;""),Rules!$C$2:$C$200),"")&lt;&gt;E650,"⚠ Check sign","OK")))</f>
        <v/>
      </c>
    </row>
    <row r="651" customFormat="false" ht="15" hidden="false" customHeight="false" outlineLevel="0" collapsed="false">
      <c r="A651" s="3"/>
      <c r="B651" s="3"/>
      <c r="C651" s="3"/>
      <c r="D651" s="3" t="str">
        <f aca="false">IF($B651="","",IFERROR(LOOKUP(2^15,SEARCH(Rules!$A$2:$A$200&amp;"",$B651)/(Rules!$A$2:$A$200&lt;&gt;""),Rules!$B$2:$B$200),"Uncategorized"))</f>
        <v/>
      </c>
      <c r="E651" s="3" t="str">
        <f aca="false">IF($B651="","",IF($C651&gt;=0,"Income","Expense"))</f>
        <v/>
      </c>
      <c r="F651" s="3" t="str">
        <f aca="false">IF($B651="","",IFERROR(LOOKUP(2^15,SEARCH(Rules!$A$2:$A$200&amp;"",$B651)/(Rules!$A$2:$A$200&lt;&gt;""),Rules!$A$2:$A$200),""))</f>
        <v/>
      </c>
      <c r="G651" s="3" t="str">
        <f aca="false">IF($B651="","",IF(D651="Uncategorized","⚠ Review",IF(IFERROR(LOOKUP(2^15,SEARCH(Rules!$A$2:$A$200&amp;"",$B651)/(Rules!$A$2:$A$200&lt;&gt;""),Rules!$C$2:$C$200),"")&lt;&gt;E651,"⚠ Check sign","OK")))</f>
        <v/>
      </c>
    </row>
    <row r="652" customFormat="false" ht="15" hidden="false" customHeight="false" outlineLevel="0" collapsed="false">
      <c r="A652" s="3"/>
      <c r="B652" s="3"/>
      <c r="C652" s="3"/>
      <c r="D652" s="3" t="str">
        <f aca="false">IF($B652="","",IFERROR(LOOKUP(2^15,SEARCH(Rules!$A$2:$A$200&amp;"",$B652)/(Rules!$A$2:$A$200&lt;&gt;""),Rules!$B$2:$B$200),"Uncategorized"))</f>
        <v/>
      </c>
      <c r="E652" s="3" t="str">
        <f aca="false">IF($B652="","",IF($C652&gt;=0,"Income","Expense"))</f>
        <v/>
      </c>
      <c r="F652" s="3" t="str">
        <f aca="false">IF($B652="","",IFERROR(LOOKUP(2^15,SEARCH(Rules!$A$2:$A$200&amp;"",$B652)/(Rules!$A$2:$A$200&lt;&gt;""),Rules!$A$2:$A$200),""))</f>
        <v/>
      </c>
      <c r="G652" s="3" t="str">
        <f aca="false">IF($B652="","",IF(D652="Uncategorized","⚠ Review",IF(IFERROR(LOOKUP(2^15,SEARCH(Rules!$A$2:$A$200&amp;"",$B652)/(Rules!$A$2:$A$200&lt;&gt;""),Rules!$C$2:$C$200),"")&lt;&gt;E652,"⚠ Check sign","OK")))</f>
        <v/>
      </c>
    </row>
    <row r="653" customFormat="false" ht="15" hidden="false" customHeight="false" outlineLevel="0" collapsed="false">
      <c r="A653" s="3"/>
      <c r="B653" s="3"/>
      <c r="C653" s="3"/>
      <c r="D653" s="3" t="str">
        <f aca="false">IF($B653="","",IFERROR(LOOKUP(2^15,SEARCH(Rules!$A$2:$A$200&amp;"",$B653)/(Rules!$A$2:$A$200&lt;&gt;""),Rules!$B$2:$B$200),"Uncategorized"))</f>
        <v/>
      </c>
      <c r="E653" s="3" t="str">
        <f aca="false">IF($B653="","",IF($C653&gt;=0,"Income","Expense"))</f>
        <v/>
      </c>
      <c r="F653" s="3" t="str">
        <f aca="false">IF($B653="","",IFERROR(LOOKUP(2^15,SEARCH(Rules!$A$2:$A$200&amp;"",$B653)/(Rules!$A$2:$A$200&lt;&gt;""),Rules!$A$2:$A$200),""))</f>
        <v/>
      </c>
      <c r="G653" s="3" t="str">
        <f aca="false">IF($B653="","",IF(D653="Uncategorized","⚠ Review",IF(IFERROR(LOOKUP(2^15,SEARCH(Rules!$A$2:$A$200&amp;"",$B653)/(Rules!$A$2:$A$200&lt;&gt;""),Rules!$C$2:$C$200),"")&lt;&gt;E653,"⚠ Check sign","OK")))</f>
        <v/>
      </c>
    </row>
    <row r="654" customFormat="false" ht="15" hidden="false" customHeight="false" outlineLevel="0" collapsed="false">
      <c r="A654" s="3"/>
      <c r="B654" s="3"/>
      <c r="C654" s="3"/>
      <c r="D654" s="3" t="str">
        <f aca="false">IF($B654="","",IFERROR(LOOKUP(2^15,SEARCH(Rules!$A$2:$A$200&amp;"",$B654)/(Rules!$A$2:$A$200&lt;&gt;""),Rules!$B$2:$B$200),"Uncategorized"))</f>
        <v/>
      </c>
      <c r="E654" s="3" t="str">
        <f aca="false">IF($B654="","",IF($C654&gt;=0,"Income","Expense"))</f>
        <v/>
      </c>
      <c r="F654" s="3" t="str">
        <f aca="false">IF($B654="","",IFERROR(LOOKUP(2^15,SEARCH(Rules!$A$2:$A$200&amp;"",$B654)/(Rules!$A$2:$A$200&lt;&gt;""),Rules!$A$2:$A$200),""))</f>
        <v/>
      </c>
      <c r="G654" s="3" t="str">
        <f aca="false">IF($B654="","",IF(D654="Uncategorized","⚠ Review",IF(IFERROR(LOOKUP(2^15,SEARCH(Rules!$A$2:$A$200&amp;"",$B654)/(Rules!$A$2:$A$200&lt;&gt;""),Rules!$C$2:$C$200),"")&lt;&gt;E654,"⚠ Check sign","OK")))</f>
        <v/>
      </c>
    </row>
    <row r="655" customFormat="false" ht="15" hidden="false" customHeight="false" outlineLevel="0" collapsed="false">
      <c r="A655" s="3"/>
      <c r="B655" s="3"/>
      <c r="C655" s="3"/>
      <c r="D655" s="3" t="str">
        <f aca="false">IF($B655="","",IFERROR(LOOKUP(2^15,SEARCH(Rules!$A$2:$A$200&amp;"",$B655)/(Rules!$A$2:$A$200&lt;&gt;""),Rules!$B$2:$B$200),"Uncategorized"))</f>
        <v/>
      </c>
      <c r="E655" s="3" t="str">
        <f aca="false">IF($B655="","",IF($C655&gt;=0,"Income","Expense"))</f>
        <v/>
      </c>
      <c r="F655" s="3" t="str">
        <f aca="false">IF($B655="","",IFERROR(LOOKUP(2^15,SEARCH(Rules!$A$2:$A$200&amp;"",$B655)/(Rules!$A$2:$A$200&lt;&gt;""),Rules!$A$2:$A$200),""))</f>
        <v/>
      </c>
      <c r="G655" s="3" t="str">
        <f aca="false">IF($B655="","",IF(D655="Uncategorized","⚠ Review",IF(IFERROR(LOOKUP(2^15,SEARCH(Rules!$A$2:$A$200&amp;"",$B655)/(Rules!$A$2:$A$200&lt;&gt;""),Rules!$C$2:$C$200),"")&lt;&gt;E655,"⚠ Check sign","OK")))</f>
        <v/>
      </c>
    </row>
    <row r="656" customFormat="false" ht="15" hidden="false" customHeight="false" outlineLevel="0" collapsed="false">
      <c r="A656" s="3"/>
      <c r="B656" s="3"/>
      <c r="C656" s="3"/>
      <c r="D656" s="3" t="str">
        <f aca="false">IF($B656="","",IFERROR(LOOKUP(2^15,SEARCH(Rules!$A$2:$A$200&amp;"",$B656)/(Rules!$A$2:$A$200&lt;&gt;""),Rules!$B$2:$B$200),"Uncategorized"))</f>
        <v/>
      </c>
      <c r="E656" s="3" t="str">
        <f aca="false">IF($B656="","",IF($C656&gt;=0,"Income","Expense"))</f>
        <v/>
      </c>
      <c r="F656" s="3" t="str">
        <f aca="false">IF($B656="","",IFERROR(LOOKUP(2^15,SEARCH(Rules!$A$2:$A$200&amp;"",$B656)/(Rules!$A$2:$A$200&lt;&gt;""),Rules!$A$2:$A$200),""))</f>
        <v/>
      </c>
      <c r="G656" s="3" t="str">
        <f aca="false">IF($B656="","",IF(D656="Uncategorized","⚠ Review",IF(IFERROR(LOOKUP(2^15,SEARCH(Rules!$A$2:$A$200&amp;"",$B656)/(Rules!$A$2:$A$200&lt;&gt;""),Rules!$C$2:$C$200),"")&lt;&gt;E656,"⚠ Check sign","OK")))</f>
        <v/>
      </c>
    </row>
    <row r="657" customFormat="false" ht="15" hidden="false" customHeight="false" outlineLevel="0" collapsed="false">
      <c r="A657" s="3"/>
      <c r="B657" s="3"/>
      <c r="C657" s="3"/>
      <c r="D657" s="3" t="str">
        <f aca="false">IF($B657="","",IFERROR(LOOKUP(2^15,SEARCH(Rules!$A$2:$A$200&amp;"",$B657)/(Rules!$A$2:$A$200&lt;&gt;""),Rules!$B$2:$B$200),"Uncategorized"))</f>
        <v/>
      </c>
      <c r="E657" s="3" t="str">
        <f aca="false">IF($B657="","",IF($C657&gt;=0,"Income","Expense"))</f>
        <v/>
      </c>
      <c r="F657" s="3" t="str">
        <f aca="false">IF($B657="","",IFERROR(LOOKUP(2^15,SEARCH(Rules!$A$2:$A$200&amp;"",$B657)/(Rules!$A$2:$A$200&lt;&gt;""),Rules!$A$2:$A$200),""))</f>
        <v/>
      </c>
      <c r="G657" s="3" t="str">
        <f aca="false">IF($B657="","",IF(D657="Uncategorized","⚠ Review",IF(IFERROR(LOOKUP(2^15,SEARCH(Rules!$A$2:$A$200&amp;"",$B657)/(Rules!$A$2:$A$200&lt;&gt;""),Rules!$C$2:$C$200),"")&lt;&gt;E657,"⚠ Check sign","OK")))</f>
        <v/>
      </c>
    </row>
    <row r="658" customFormat="false" ht="15" hidden="false" customHeight="false" outlineLevel="0" collapsed="false">
      <c r="A658" s="3"/>
      <c r="B658" s="3"/>
      <c r="C658" s="3"/>
      <c r="D658" s="3" t="str">
        <f aca="false">IF($B658="","",IFERROR(LOOKUP(2^15,SEARCH(Rules!$A$2:$A$200&amp;"",$B658)/(Rules!$A$2:$A$200&lt;&gt;""),Rules!$B$2:$B$200),"Uncategorized"))</f>
        <v/>
      </c>
      <c r="E658" s="3" t="str">
        <f aca="false">IF($B658="","",IF($C658&gt;=0,"Income","Expense"))</f>
        <v/>
      </c>
      <c r="F658" s="3" t="str">
        <f aca="false">IF($B658="","",IFERROR(LOOKUP(2^15,SEARCH(Rules!$A$2:$A$200&amp;"",$B658)/(Rules!$A$2:$A$200&lt;&gt;""),Rules!$A$2:$A$200),""))</f>
        <v/>
      </c>
      <c r="G658" s="3" t="str">
        <f aca="false">IF($B658="","",IF(D658="Uncategorized","⚠ Review",IF(IFERROR(LOOKUP(2^15,SEARCH(Rules!$A$2:$A$200&amp;"",$B658)/(Rules!$A$2:$A$200&lt;&gt;""),Rules!$C$2:$C$200),"")&lt;&gt;E658,"⚠ Check sign","OK")))</f>
        <v/>
      </c>
    </row>
    <row r="659" customFormat="false" ht="15" hidden="false" customHeight="false" outlineLevel="0" collapsed="false">
      <c r="A659" s="3"/>
      <c r="B659" s="3"/>
      <c r="C659" s="3"/>
      <c r="D659" s="3" t="str">
        <f aca="false">IF($B659="","",IFERROR(LOOKUP(2^15,SEARCH(Rules!$A$2:$A$200&amp;"",$B659)/(Rules!$A$2:$A$200&lt;&gt;""),Rules!$B$2:$B$200),"Uncategorized"))</f>
        <v/>
      </c>
      <c r="E659" s="3" t="str">
        <f aca="false">IF($B659="","",IF($C659&gt;=0,"Income","Expense"))</f>
        <v/>
      </c>
      <c r="F659" s="3" t="str">
        <f aca="false">IF($B659="","",IFERROR(LOOKUP(2^15,SEARCH(Rules!$A$2:$A$200&amp;"",$B659)/(Rules!$A$2:$A$200&lt;&gt;""),Rules!$A$2:$A$200),""))</f>
        <v/>
      </c>
      <c r="G659" s="3" t="str">
        <f aca="false">IF($B659="","",IF(D659="Uncategorized","⚠ Review",IF(IFERROR(LOOKUP(2^15,SEARCH(Rules!$A$2:$A$200&amp;"",$B659)/(Rules!$A$2:$A$200&lt;&gt;""),Rules!$C$2:$C$200),"")&lt;&gt;E659,"⚠ Check sign","OK")))</f>
        <v/>
      </c>
    </row>
    <row r="660" customFormat="false" ht="15" hidden="false" customHeight="false" outlineLevel="0" collapsed="false">
      <c r="A660" s="3"/>
      <c r="B660" s="3"/>
      <c r="C660" s="3"/>
      <c r="D660" s="3" t="str">
        <f aca="false">IF($B660="","",IFERROR(LOOKUP(2^15,SEARCH(Rules!$A$2:$A$200&amp;"",$B660)/(Rules!$A$2:$A$200&lt;&gt;""),Rules!$B$2:$B$200),"Uncategorized"))</f>
        <v/>
      </c>
      <c r="E660" s="3" t="str">
        <f aca="false">IF($B660="","",IF($C660&gt;=0,"Income","Expense"))</f>
        <v/>
      </c>
      <c r="F660" s="3" t="str">
        <f aca="false">IF($B660="","",IFERROR(LOOKUP(2^15,SEARCH(Rules!$A$2:$A$200&amp;"",$B660)/(Rules!$A$2:$A$200&lt;&gt;""),Rules!$A$2:$A$200),""))</f>
        <v/>
      </c>
      <c r="G660" s="3" t="str">
        <f aca="false">IF($B660="","",IF(D660="Uncategorized","⚠ Review",IF(IFERROR(LOOKUP(2^15,SEARCH(Rules!$A$2:$A$200&amp;"",$B660)/(Rules!$A$2:$A$200&lt;&gt;""),Rules!$C$2:$C$200),"")&lt;&gt;E660,"⚠ Check sign","OK")))</f>
        <v/>
      </c>
    </row>
    <row r="661" customFormat="false" ht="15" hidden="false" customHeight="false" outlineLevel="0" collapsed="false">
      <c r="A661" s="3"/>
      <c r="B661" s="3"/>
      <c r="C661" s="3"/>
      <c r="D661" s="3" t="str">
        <f aca="false">IF($B661="","",IFERROR(LOOKUP(2^15,SEARCH(Rules!$A$2:$A$200&amp;"",$B661)/(Rules!$A$2:$A$200&lt;&gt;""),Rules!$B$2:$B$200),"Uncategorized"))</f>
        <v/>
      </c>
      <c r="E661" s="3" t="str">
        <f aca="false">IF($B661="","",IF($C661&gt;=0,"Income","Expense"))</f>
        <v/>
      </c>
      <c r="F661" s="3" t="str">
        <f aca="false">IF($B661="","",IFERROR(LOOKUP(2^15,SEARCH(Rules!$A$2:$A$200&amp;"",$B661)/(Rules!$A$2:$A$200&lt;&gt;""),Rules!$A$2:$A$200),""))</f>
        <v/>
      </c>
      <c r="G661" s="3" t="str">
        <f aca="false">IF($B661="","",IF(D661="Uncategorized","⚠ Review",IF(IFERROR(LOOKUP(2^15,SEARCH(Rules!$A$2:$A$200&amp;"",$B661)/(Rules!$A$2:$A$200&lt;&gt;""),Rules!$C$2:$C$200),"")&lt;&gt;E661,"⚠ Check sign","OK")))</f>
        <v/>
      </c>
    </row>
    <row r="662" customFormat="false" ht="15" hidden="false" customHeight="false" outlineLevel="0" collapsed="false">
      <c r="A662" s="3"/>
      <c r="B662" s="3"/>
      <c r="C662" s="3"/>
      <c r="D662" s="3" t="str">
        <f aca="false">IF($B662="","",IFERROR(LOOKUP(2^15,SEARCH(Rules!$A$2:$A$200&amp;"",$B662)/(Rules!$A$2:$A$200&lt;&gt;""),Rules!$B$2:$B$200),"Uncategorized"))</f>
        <v/>
      </c>
      <c r="E662" s="3" t="str">
        <f aca="false">IF($B662="","",IF($C662&gt;=0,"Income","Expense"))</f>
        <v/>
      </c>
      <c r="F662" s="3" t="str">
        <f aca="false">IF($B662="","",IFERROR(LOOKUP(2^15,SEARCH(Rules!$A$2:$A$200&amp;"",$B662)/(Rules!$A$2:$A$200&lt;&gt;""),Rules!$A$2:$A$200),""))</f>
        <v/>
      </c>
      <c r="G662" s="3" t="str">
        <f aca="false">IF($B662="","",IF(D662="Uncategorized","⚠ Review",IF(IFERROR(LOOKUP(2^15,SEARCH(Rules!$A$2:$A$200&amp;"",$B662)/(Rules!$A$2:$A$200&lt;&gt;""),Rules!$C$2:$C$200),"")&lt;&gt;E662,"⚠ Check sign","OK")))</f>
        <v/>
      </c>
    </row>
    <row r="663" customFormat="false" ht="15" hidden="false" customHeight="false" outlineLevel="0" collapsed="false">
      <c r="A663" s="3"/>
      <c r="B663" s="3"/>
      <c r="C663" s="3"/>
      <c r="D663" s="3" t="str">
        <f aca="false">IF($B663="","",IFERROR(LOOKUP(2^15,SEARCH(Rules!$A$2:$A$200&amp;"",$B663)/(Rules!$A$2:$A$200&lt;&gt;""),Rules!$B$2:$B$200),"Uncategorized"))</f>
        <v/>
      </c>
      <c r="E663" s="3" t="str">
        <f aca="false">IF($B663="","",IF($C663&gt;=0,"Income","Expense"))</f>
        <v/>
      </c>
      <c r="F663" s="3" t="str">
        <f aca="false">IF($B663="","",IFERROR(LOOKUP(2^15,SEARCH(Rules!$A$2:$A$200&amp;"",$B663)/(Rules!$A$2:$A$200&lt;&gt;""),Rules!$A$2:$A$200),""))</f>
        <v/>
      </c>
      <c r="G663" s="3" t="str">
        <f aca="false">IF($B663="","",IF(D663="Uncategorized","⚠ Review",IF(IFERROR(LOOKUP(2^15,SEARCH(Rules!$A$2:$A$200&amp;"",$B663)/(Rules!$A$2:$A$200&lt;&gt;""),Rules!$C$2:$C$200),"")&lt;&gt;E663,"⚠ Check sign","OK")))</f>
        <v/>
      </c>
    </row>
    <row r="664" customFormat="false" ht="15" hidden="false" customHeight="false" outlineLevel="0" collapsed="false">
      <c r="A664" s="3"/>
      <c r="B664" s="3"/>
      <c r="C664" s="3"/>
      <c r="D664" s="3" t="str">
        <f aca="false">IF($B664="","",IFERROR(LOOKUP(2^15,SEARCH(Rules!$A$2:$A$200&amp;"",$B664)/(Rules!$A$2:$A$200&lt;&gt;""),Rules!$B$2:$B$200),"Uncategorized"))</f>
        <v/>
      </c>
      <c r="E664" s="3" t="str">
        <f aca="false">IF($B664="","",IF($C664&gt;=0,"Income","Expense"))</f>
        <v/>
      </c>
      <c r="F664" s="3" t="str">
        <f aca="false">IF($B664="","",IFERROR(LOOKUP(2^15,SEARCH(Rules!$A$2:$A$200&amp;"",$B664)/(Rules!$A$2:$A$200&lt;&gt;""),Rules!$A$2:$A$200),""))</f>
        <v/>
      </c>
      <c r="G664" s="3" t="str">
        <f aca="false">IF($B664="","",IF(D664="Uncategorized","⚠ Review",IF(IFERROR(LOOKUP(2^15,SEARCH(Rules!$A$2:$A$200&amp;"",$B664)/(Rules!$A$2:$A$200&lt;&gt;""),Rules!$C$2:$C$200),"")&lt;&gt;E664,"⚠ Check sign","OK")))</f>
        <v/>
      </c>
    </row>
    <row r="665" customFormat="false" ht="15" hidden="false" customHeight="false" outlineLevel="0" collapsed="false">
      <c r="A665" s="3"/>
      <c r="B665" s="3"/>
      <c r="C665" s="3"/>
      <c r="D665" s="3" t="str">
        <f aca="false">IF($B665="","",IFERROR(LOOKUP(2^15,SEARCH(Rules!$A$2:$A$200&amp;"",$B665)/(Rules!$A$2:$A$200&lt;&gt;""),Rules!$B$2:$B$200),"Uncategorized"))</f>
        <v/>
      </c>
      <c r="E665" s="3" t="str">
        <f aca="false">IF($B665="","",IF($C665&gt;=0,"Income","Expense"))</f>
        <v/>
      </c>
      <c r="F665" s="3" t="str">
        <f aca="false">IF($B665="","",IFERROR(LOOKUP(2^15,SEARCH(Rules!$A$2:$A$200&amp;"",$B665)/(Rules!$A$2:$A$200&lt;&gt;""),Rules!$A$2:$A$200),""))</f>
        <v/>
      </c>
      <c r="G665" s="3" t="str">
        <f aca="false">IF($B665="","",IF(D665="Uncategorized","⚠ Review",IF(IFERROR(LOOKUP(2^15,SEARCH(Rules!$A$2:$A$200&amp;"",$B665)/(Rules!$A$2:$A$200&lt;&gt;""),Rules!$C$2:$C$200),"")&lt;&gt;E665,"⚠ Check sign","OK")))</f>
        <v/>
      </c>
    </row>
    <row r="666" customFormat="false" ht="15" hidden="false" customHeight="false" outlineLevel="0" collapsed="false">
      <c r="A666" s="3"/>
      <c r="B666" s="3"/>
      <c r="C666" s="3"/>
      <c r="D666" s="3" t="str">
        <f aca="false">IF($B666="","",IFERROR(LOOKUP(2^15,SEARCH(Rules!$A$2:$A$200&amp;"",$B666)/(Rules!$A$2:$A$200&lt;&gt;""),Rules!$B$2:$B$200),"Uncategorized"))</f>
        <v/>
      </c>
      <c r="E666" s="3" t="str">
        <f aca="false">IF($B666="","",IF($C666&gt;=0,"Income","Expense"))</f>
        <v/>
      </c>
      <c r="F666" s="3" t="str">
        <f aca="false">IF($B666="","",IFERROR(LOOKUP(2^15,SEARCH(Rules!$A$2:$A$200&amp;"",$B666)/(Rules!$A$2:$A$200&lt;&gt;""),Rules!$A$2:$A$200),""))</f>
        <v/>
      </c>
      <c r="G666" s="3" t="str">
        <f aca="false">IF($B666="","",IF(D666="Uncategorized","⚠ Review",IF(IFERROR(LOOKUP(2^15,SEARCH(Rules!$A$2:$A$200&amp;"",$B666)/(Rules!$A$2:$A$200&lt;&gt;""),Rules!$C$2:$C$200),"")&lt;&gt;E666,"⚠ Check sign","OK")))</f>
        <v/>
      </c>
    </row>
    <row r="667" customFormat="false" ht="15" hidden="false" customHeight="false" outlineLevel="0" collapsed="false">
      <c r="A667" s="3"/>
      <c r="B667" s="3"/>
      <c r="C667" s="3"/>
      <c r="D667" s="3" t="str">
        <f aca="false">IF($B667="","",IFERROR(LOOKUP(2^15,SEARCH(Rules!$A$2:$A$200&amp;"",$B667)/(Rules!$A$2:$A$200&lt;&gt;""),Rules!$B$2:$B$200),"Uncategorized"))</f>
        <v/>
      </c>
      <c r="E667" s="3" t="str">
        <f aca="false">IF($B667="","",IF($C667&gt;=0,"Income","Expense"))</f>
        <v/>
      </c>
      <c r="F667" s="3" t="str">
        <f aca="false">IF($B667="","",IFERROR(LOOKUP(2^15,SEARCH(Rules!$A$2:$A$200&amp;"",$B667)/(Rules!$A$2:$A$200&lt;&gt;""),Rules!$A$2:$A$200),""))</f>
        <v/>
      </c>
      <c r="G667" s="3" t="str">
        <f aca="false">IF($B667="","",IF(D667="Uncategorized","⚠ Review",IF(IFERROR(LOOKUP(2^15,SEARCH(Rules!$A$2:$A$200&amp;"",$B667)/(Rules!$A$2:$A$200&lt;&gt;""),Rules!$C$2:$C$200),"")&lt;&gt;E667,"⚠ Check sign","OK")))</f>
        <v/>
      </c>
    </row>
    <row r="668" customFormat="false" ht="15" hidden="false" customHeight="false" outlineLevel="0" collapsed="false">
      <c r="A668" s="3"/>
      <c r="B668" s="3"/>
      <c r="C668" s="3"/>
      <c r="D668" s="3" t="str">
        <f aca="false">IF($B668="","",IFERROR(LOOKUP(2^15,SEARCH(Rules!$A$2:$A$200&amp;"",$B668)/(Rules!$A$2:$A$200&lt;&gt;""),Rules!$B$2:$B$200),"Uncategorized"))</f>
        <v/>
      </c>
      <c r="E668" s="3" t="str">
        <f aca="false">IF($B668="","",IF($C668&gt;=0,"Income","Expense"))</f>
        <v/>
      </c>
      <c r="F668" s="3" t="str">
        <f aca="false">IF($B668="","",IFERROR(LOOKUP(2^15,SEARCH(Rules!$A$2:$A$200&amp;"",$B668)/(Rules!$A$2:$A$200&lt;&gt;""),Rules!$A$2:$A$200),""))</f>
        <v/>
      </c>
      <c r="G668" s="3" t="str">
        <f aca="false">IF($B668="","",IF(D668="Uncategorized","⚠ Review",IF(IFERROR(LOOKUP(2^15,SEARCH(Rules!$A$2:$A$200&amp;"",$B668)/(Rules!$A$2:$A$200&lt;&gt;""),Rules!$C$2:$C$200),"")&lt;&gt;E668,"⚠ Check sign","OK")))</f>
        <v/>
      </c>
    </row>
    <row r="669" customFormat="false" ht="15" hidden="false" customHeight="false" outlineLevel="0" collapsed="false">
      <c r="A669" s="3"/>
      <c r="B669" s="3"/>
      <c r="C669" s="3"/>
      <c r="D669" s="3" t="str">
        <f aca="false">IF($B669="","",IFERROR(LOOKUP(2^15,SEARCH(Rules!$A$2:$A$200&amp;"",$B669)/(Rules!$A$2:$A$200&lt;&gt;""),Rules!$B$2:$B$200),"Uncategorized"))</f>
        <v/>
      </c>
      <c r="E669" s="3" t="str">
        <f aca="false">IF($B669="","",IF($C669&gt;=0,"Income","Expense"))</f>
        <v/>
      </c>
      <c r="F669" s="3" t="str">
        <f aca="false">IF($B669="","",IFERROR(LOOKUP(2^15,SEARCH(Rules!$A$2:$A$200&amp;"",$B669)/(Rules!$A$2:$A$200&lt;&gt;""),Rules!$A$2:$A$200),""))</f>
        <v/>
      </c>
      <c r="G669" s="3" t="str">
        <f aca="false">IF($B669="","",IF(D669="Uncategorized","⚠ Review",IF(IFERROR(LOOKUP(2^15,SEARCH(Rules!$A$2:$A$200&amp;"",$B669)/(Rules!$A$2:$A$200&lt;&gt;""),Rules!$C$2:$C$200),"")&lt;&gt;E669,"⚠ Check sign","OK")))</f>
        <v/>
      </c>
    </row>
    <row r="670" customFormat="false" ht="15" hidden="false" customHeight="false" outlineLevel="0" collapsed="false">
      <c r="A670" s="3"/>
      <c r="B670" s="3"/>
      <c r="C670" s="3"/>
      <c r="D670" s="3" t="str">
        <f aca="false">IF($B670="","",IFERROR(LOOKUP(2^15,SEARCH(Rules!$A$2:$A$200&amp;"",$B670)/(Rules!$A$2:$A$200&lt;&gt;""),Rules!$B$2:$B$200),"Uncategorized"))</f>
        <v/>
      </c>
      <c r="E670" s="3" t="str">
        <f aca="false">IF($B670="","",IF($C670&gt;=0,"Income","Expense"))</f>
        <v/>
      </c>
      <c r="F670" s="3" t="str">
        <f aca="false">IF($B670="","",IFERROR(LOOKUP(2^15,SEARCH(Rules!$A$2:$A$200&amp;"",$B670)/(Rules!$A$2:$A$200&lt;&gt;""),Rules!$A$2:$A$200),""))</f>
        <v/>
      </c>
      <c r="G670" s="3" t="str">
        <f aca="false">IF($B670="","",IF(D670="Uncategorized","⚠ Review",IF(IFERROR(LOOKUP(2^15,SEARCH(Rules!$A$2:$A$200&amp;"",$B670)/(Rules!$A$2:$A$200&lt;&gt;""),Rules!$C$2:$C$200),"")&lt;&gt;E670,"⚠ Check sign","OK")))</f>
        <v/>
      </c>
    </row>
    <row r="671" customFormat="false" ht="15" hidden="false" customHeight="false" outlineLevel="0" collapsed="false">
      <c r="A671" s="3"/>
      <c r="B671" s="3"/>
      <c r="C671" s="3"/>
      <c r="D671" s="3" t="str">
        <f aca="false">IF($B671="","",IFERROR(LOOKUP(2^15,SEARCH(Rules!$A$2:$A$200&amp;"",$B671)/(Rules!$A$2:$A$200&lt;&gt;""),Rules!$B$2:$B$200),"Uncategorized"))</f>
        <v/>
      </c>
      <c r="E671" s="3" t="str">
        <f aca="false">IF($B671="","",IF($C671&gt;=0,"Income","Expense"))</f>
        <v/>
      </c>
      <c r="F671" s="3" t="str">
        <f aca="false">IF($B671="","",IFERROR(LOOKUP(2^15,SEARCH(Rules!$A$2:$A$200&amp;"",$B671)/(Rules!$A$2:$A$200&lt;&gt;""),Rules!$A$2:$A$200),""))</f>
        <v/>
      </c>
      <c r="G671" s="3" t="str">
        <f aca="false">IF($B671="","",IF(D671="Uncategorized","⚠ Review",IF(IFERROR(LOOKUP(2^15,SEARCH(Rules!$A$2:$A$200&amp;"",$B671)/(Rules!$A$2:$A$200&lt;&gt;""),Rules!$C$2:$C$200),"")&lt;&gt;E671,"⚠ Check sign","OK")))</f>
        <v/>
      </c>
    </row>
    <row r="672" customFormat="false" ht="15" hidden="false" customHeight="false" outlineLevel="0" collapsed="false">
      <c r="A672" s="3"/>
      <c r="B672" s="3"/>
      <c r="C672" s="3"/>
      <c r="D672" s="3" t="str">
        <f aca="false">IF($B672="","",IFERROR(LOOKUP(2^15,SEARCH(Rules!$A$2:$A$200&amp;"",$B672)/(Rules!$A$2:$A$200&lt;&gt;""),Rules!$B$2:$B$200),"Uncategorized"))</f>
        <v/>
      </c>
      <c r="E672" s="3" t="str">
        <f aca="false">IF($B672="","",IF($C672&gt;=0,"Income","Expense"))</f>
        <v/>
      </c>
      <c r="F672" s="3" t="str">
        <f aca="false">IF($B672="","",IFERROR(LOOKUP(2^15,SEARCH(Rules!$A$2:$A$200&amp;"",$B672)/(Rules!$A$2:$A$200&lt;&gt;""),Rules!$A$2:$A$200),""))</f>
        <v/>
      </c>
      <c r="G672" s="3" t="str">
        <f aca="false">IF($B672="","",IF(D672="Uncategorized","⚠ Review",IF(IFERROR(LOOKUP(2^15,SEARCH(Rules!$A$2:$A$200&amp;"",$B672)/(Rules!$A$2:$A$200&lt;&gt;""),Rules!$C$2:$C$200),"")&lt;&gt;E672,"⚠ Check sign","OK")))</f>
        <v/>
      </c>
    </row>
    <row r="673" customFormat="false" ht="15" hidden="false" customHeight="false" outlineLevel="0" collapsed="false">
      <c r="A673" s="3"/>
      <c r="B673" s="3"/>
      <c r="C673" s="3"/>
      <c r="D673" s="3" t="str">
        <f aca="false">IF($B673="","",IFERROR(LOOKUP(2^15,SEARCH(Rules!$A$2:$A$200&amp;"",$B673)/(Rules!$A$2:$A$200&lt;&gt;""),Rules!$B$2:$B$200),"Uncategorized"))</f>
        <v/>
      </c>
      <c r="E673" s="3" t="str">
        <f aca="false">IF($B673="","",IF($C673&gt;=0,"Income","Expense"))</f>
        <v/>
      </c>
      <c r="F673" s="3" t="str">
        <f aca="false">IF($B673="","",IFERROR(LOOKUP(2^15,SEARCH(Rules!$A$2:$A$200&amp;"",$B673)/(Rules!$A$2:$A$200&lt;&gt;""),Rules!$A$2:$A$200),""))</f>
        <v/>
      </c>
      <c r="G673" s="3" t="str">
        <f aca="false">IF($B673="","",IF(D673="Uncategorized","⚠ Review",IF(IFERROR(LOOKUP(2^15,SEARCH(Rules!$A$2:$A$200&amp;"",$B673)/(Rules!$A$2:$A$200&lt;&gt;""),Rules!$C$2:$C$200),"")&lt;&gt;E673,"⚠ Check sign","OK")))</f>
        <v/>
      </c>
    </row>
    <row r="674" customFormat="false" ht="15" hidden="false" customHeight="false" outlineLevel="0" collapsed="false">
      <c r="A674" s="3"/>
      <c r="B674" s="3"/>
      <c r="C674" s="3"/>
      <c r="D674" s="3" t="str">
        <f aca="false">IF($B674="","",IFERROR(LOOKUP(2^15,SEARCH(Rules!$A$2:$A$200&amp;"",$B674)/(Rules!$A$2:$A$200&lt;&gt;""),Rules!$B$2:$B$200),"Uncategorized"))</f>
        <v/>
      </c>
      <c r="E674" s="3" t="str">
        <f aca="false">IF($B674="","",IF($C674&gt;=0,"Income","Expense"))</f>
        <v/>
      </c>
      <c r="F674" s="3" t="str">
        <f aca="false">IF($B674="","",IFERROR(LOOKUP(2^15,SEARCH(Rules!$A$2:$A$200&amp;"",$B674)/(Rules!$A$2:$A$200&lt;&gt;""),Rules!$A$2:$A$200),""))</f>
        <v/>
      </c>
      <c r="G674" s="3" t="str">
        <f aca="false">IF($B674="","",IF(D674="Uncategorized","⚠ Review",IF(IFERROR(LOOKUP(2^15,SEARCH(Rules!$A$2:$A$200&amp;"",$B674)/(Rules!$A$2:$A$200&lt;&gt;""),Rules!$C$2:$C$200),"")&lt;&gt;E674,"⚠ Check sign","OK")))</f>
        <v/>
      </c>
    </row>
    <row r="675" customFormat="false" ht="15" hidden="false" customHeight="false" outlineLevel="0" collapsed="false">
      <c r="A675" s="3"/>
      <c r="B675" s="3"/>
      <c r="C675" s="3"/>
      <c r="D675" s="3" t="str">
        <f aca="false">IF($B675="","",IFERROR(LOOKUP(2^15,SEARCH(Rules!$A$2:$A$200&amp;"",$B675)/(Rules!$A$2:$A$200&lt;&gt;""),Rules!$B$2:$B$200),"Uncategorized"))</f>
        <v/>
      </c>
      <c r="E675" s="3" t="str">
        <f aca="false">IF($B675="","",IF($C675&gt;=0,"Income","Expense"))</f>
        <v/>
      </c>
      <c r="F675" s="3" t="str">
        <f aca="false">IF($B675="","",IFERROR(LOOKUP(2^15,SEARCH(Rules!$A$2:$A$200&amp;"",$B675)/(Rules!$A$2:$A$200&lt;&gt;""),Rules!$A$2:$A$200),""))</f>
        <v/>
      </c>
      <c r="G675" s="3" t="str">
        <f aca="false">IF($B675="","",IF(D675="Uncategorized","⚠ Review",IF(IFERROR(LOOKUP(2^15,SEARCH(Rules!$A$2:$A$200&amp;"",$B675)/(Rules!$A$2:$A$200&lt;&gt;""),Rules!$C$2:$C$200),"")&lt;&gt;E675,"⚠ Check sign","OK")))</f>
        <v/>
      </c>
    </row>
    <row r="676" customFormat="false" ht="15" hidden="false" customHeight="false" outlineLevel="0" collapsed="false">
      <c r="A676" s="3"/>
      <c r="B676" s="3"/>
      <c r="C676" s="3"/>
      <c r="D676" s="3" t="str">
        <f aca="false">IF($B676="","",IFERROR(LOOKUP(2^15,SEARCH(Rules!$A$2:$A$200&amp;"",$B676)/(Rules!$A$2:$A$200&lt;&gt;""),Rules!$B$2:$B$200),"Uncategorized"))</f>
        <v/>
      </c>
      <c r="E676" s="3" t="str">
        <f aca="false">IF($B676="","",IF($C676&gt;=0,"Income","Expense"))</f>
        <v/>
      </c>
      <c r="F676" s="3" t="str">
        <f aca="false">IF($B676="","",IFERROR(LOOKUP(2^15,SEARCH(Rules!$A$2:$A$200&amp;"",$B676)/(Rules!$A$2:$A$200&lt;&gt;""),Rules!$A$2:$A$200),""))</f>
        <v/>
      </c>
      <c r="G676" s="3" t="str">
        <f aca="false">IF($B676="","",IF(D676="Uncategorized","⚠ Review",IF(IFERROR(LOOKUP(2^15,SEARCH(Rules!$A$2:$A$200&amp;"",$B676)/(Rules!$A$2:$A$200&lt;&gt;""),Rules!$C$2:$C$200),"")&lt;&gt;E676,"⚠ Check sign","OK")))</f>
        <v/>
      </c>
    </row>
    <row r="677" customFormat="false" ht="15" hidden="false" customHeight="false" outlineLevel="0" collapsed="false">
      <c r="A677" s="3"/>
      <c r="B677" s="3"/>
      <c r="C677" s="3"/>
      <c r="D677" s="3" t="str">
        <f aca="false">IF($B677="","",IFERROR(LOOKUP(2^15,SEARCH(Rules!$A$2:$A$200&amp;"",$B677)/(Rules!$A$2:$A$200&lt;&gt;""),Rules!$B$2:$B$200),"Uncategorized"))</f>
        <v/>
      </c>
      <c r="E677" s="3" t="str">
        <f aca="false">IF($B677="","",IF($C677&gt;=0,"Income","Expense"))</f>
        <v/>
      </c>
      <c r="F677" s="3" t="str">
        <f aca="false">IF($B677="","",IFERROR(LOOKUP(2^15,SEARCH(Rules!$A$2:$A$200&amp;"",$B677)/(Rules!$A$2:$A$200&lt;&gt;""),Rules!$A$2:$A$200),""))</f>
        <v/>
      </c>
      <c r="G677" s="3" t="str">
        <f aca="false">IF($B677="","",IF(D677="Uncategorized","⚠ Review",IF(IFERROR(LOOKUP(2^15,SEARCH(Rules!$A$2:$A$200&amp;"",$B677)/(Rules!$A$2:$A$200&lt;&gt;""),Rules!$C$2:$C$200),"")&lt;&gt;E677,"⚠ Check sign","OK")))</f>
        <v/>
      </c>
    </row>
    <row r="678" customFormat="false" ht="15" hidden="false" customHeight="false" outlineLevel="0" collapsed="false">
      <c r="A678" s="3"/>
      <c r="B678" s="3"/>
      <c r="C678" s="3"/>
      <c r="D678" s="3" t="str">
        <f aca="false">IF($B678="","",IFERROR(LOOKUP(2^15,SEARCH(Rules!$A$2:$A$200&amp;"",$B678)/(Rules!$A$2:$A$200&lt;&gt;""),Rules!$B$2:$B$200),"Uncategorized"))</f>
        <v/>
      </c>
      <c r="E678" s="3" t="str">
        <f aca="false">IF($B678="","",IF($C678&gt;=0,"Income","Expense"))</f>
        <v/>
      </c>
      <c r="F678" s="3" t="str">
        <f aca="false">IF($B678="","",IFERROR(LOOKUP(2^15,SEARCH(Rules!$A$2:$A$200&amp;"",$B678)/(Rules!$A$2:$A$200&lt;&gt;""),Rules!$A$2:$A$200),""))</f>
        <v/>
      </c>
      <c r="G678" s="3" t="str">
        <f aca="false">IF($B678="","",IF(D678="Uncategorized","⚠ Review",IF(IFERROR(LOOKUP(2^15,SEARCH(Rules!$A$2:$A$200&amp;"",$B678)/(Rules!$A$2:$A$200&lt;&gt;""),Rules!$C$2:$C$200),"")&lt;&gt;E678,"⚠ Check sign","OK")))</f>
        <v/>
      </c>
    </row>
    <row r="679" customFormat="false" ht="15" hidden="false" customHeight="false" outlineLevel="0" collapsed="false">
      <c r="A679" s="3"/>
      <c r="B679" s="3"/>
      <c r="C679" s="3"/>
      <c r="D679" s="3" t="str">
        <f aca="false">IF($B679="","",IFERROR(LOOKUP(2^15,SEARCH(Rules!$A$2:$A$200&amp;"",$B679)/(Rules!$A$2:$A$200&lt;&gt;""),Rules!$B$2:$B$200),"Uncategorized"))</f>
        <v/>
      </c>
      <c r="E679" s="3" t="str">
        <f aca="false">IF($B679="","",IF($C679&gt;=0,"Income","Expense"))</f>
        <v/>
      </c>
      <c r="F679" s="3" t="str">
        <f aca="false">IF($B679="","",IFERROR(LOOKUP(2^15,SEARCH(Rules!$A$2:$A$200&amp;"",$B679)/(Rules!$A$2:$A$200&lt;&gt;""),Rules!$A$2:$A$200),""))</f>
        <v/>
      </c>
      <c r="G679" s="3" t="str">
        <f aca="false">IF($B679="","",IF(D679="Uncategorized","⚠ Review",IF(IFERROR(LOOKUP(2^15,SEARCH(Rules!$A$2:$A$200&amp;"",$B679)/(Rules!$A$2:$A$200&lt;&gt;""),Rules!$C$2:$C$200),"")&lt;&gt;E679,"⚠ Check sign","OK")))</f>
        <v/>
      </c>
    </row>
    <row r="680" customFormat="false" ht="15" hidden="false" customHeight="false" outlineLevel="0" collapsed="false">
      <c r="A680" s="3"/>
      <c r="B680" s="3"/>
      <c r="C680" s="3"/>
      <c r="D680" s="3" t="str">
        <f aca="false">IF($B680="","",IFERROR(LOOKUP(2^15,SEARCH(Rules!$A$2:$A$200&amp;"",$B680)/(Rules!$A$2:$A$200&lt;&gt;""),Rules!$B$2:$B$200),"Uncategorized"))</f>
        <v/>
      </c>
      <c r="E680" s="3" t="str">
        <f aca="false">IF($B680="","",IF($C680&gt;=0,"Income","Expense"))</f>
        <v/>
      </c>
      <c r="F680" s="3" t="str">
        <f aca="false">IF($B680="","",IFERROR(LOOKUP(2^15,SEARCH(Rules!$A$2:$A$200&amp;"",$B680)/(Rules!$A$2:$A$200&lt;&gt;""),Rules!$A$2:$A$200),""))</f>
        <v/>
      </c>
      <c r="G680" s="3" t="str">
        <f aca="false">IF($B680="","",IF(D680="Uncategorized","⚠ Review",IF(IFERROR(LOOKUP(2^15,SEARCH(Rules!$A$2:$A$200&amp;"",$B680)/(Rules!$A$2:$A$200&lt;&gt;""),Rules!$C$2:$C$200),"")&lt;&gt;E680,"⚠ Check sign","OK")))</f>
        <v/>
      </c>
    </row>
    <row r="681" customFormat="false" ht="15" hidden="false" customHeight="false" outlineLevel="0" collapsed="false">
      <c r="A681" s="3"/>
      <c r="B681" s="3"/>
      <c r="C681" s="3"/>
      <c r="D681" s="3" t="str">
        <f aca="false">IF($B681="","",IFERROR(LOOKUP(2^15,SEARCH(Rules!$A$2:$A$200&amp;"",$B681)/(Rules!$A$2:$A$200&lt;&gt;""),Rules!$B$2:$B$200),"Uncategorized"))</f>
        <v/>
      </c>
      <c r="E681" s="3" t="str">
        <f aca="false">IF($B681="","",IF($C681&gt;=0,"Income","Expense"))</f>
        <v/>
      </c>
      <c r="F681" s="3" t="str">
        <f aca="false">IF($B681="","",IFERROR(LOOKUP(2^15,SEARCH(Rules!$A$2:$A$200&amp;"",$B681)/(Rules!$A$2:$A$200&lt;&gt;""),Rules!$A$2:$A$200),""))</f>
        <v/>
      </c>
      <c r="G681" s="3" t="str">
        <f aca="false">IF($B681="","",IF(D681="Uncategorized","⚠ Review",IF(IFERROR(LOOKUP(2^15,SEARCH(Rules!$A$2:$A$200&amp;"",$B681)/(Rules!$A$2:$A$200&lt;&gt;""),Rules!$C$2:$C$200),"")&lt;&gt;E681,"⚠ Check sign","OK")))</f>
        <v/>
      </c>
    </row>
    <row r="682" customFormat="false" ht="15" hidden="false" customHeight="false" outlineLevel="0" collapsed="false">
      <c r="A682" s="3"/>
      <c r="B682" s="3"/>
      <c r="C682" s="3"/>
      <c r="D682" s="3" t="str">
        <f aca="false">IF($B682="","",IFERROR(LOOKUP(2^15,SEARCH(Rules!$A$2:$A$200&amp;"",$B682)/(Rules!$A$2:$A$200&lt;&gt;""),Rules!$B$2:$B$200),"Uncategorized"))</f>
        <v/>
      </c>
      <c r="E682" s="3" t="str">
        <f aca="false">IF($B682="","",IF($C682&gt;=0,"Income","Expense"))</f>
        <v/>
      </c>
      <c r="F682" s="3" t="str">
        <f aca="false">IF($B682="","",IFERROR(LOOKUP(2^15,SEARCH(Rules!$A$2:$A$200&amp;"",$B682)/(Rules!$A$2:$A$200&lt;&gt;""),Rules!$A$2:$A$200),""))</f>
        <v/>
      </c>
      <c r="G682" s="3" t="str">
        <f aca="false">IF($B682="","",IF(D682="Uncategorized","⚠ Review",IF(IFERROR(LOOKUP(2^15,SEARCH(Rules!$A$2:$A$200&amp;"",$B682)/(Rules!$A$2:$A$200&lt;&gt;""),Rules!$C$2:$C$200),"")&lt;&gt;E682,"⚠ Check sign","OK")))</f>
        <v/>
      </c>
    </row>
    <row r="683" customFormat="false" ht="15" hidden="false" customHeight="false" outlineLevel="0" collapsed="false">
      <c r="A683" s="3"/>
      <c r="B683" s="3"/>
      <c r="C683" s="3"/>
      <c r="D683" s="3" t="str">
        <f aca="false">IF($B683="","",IFERROR(LOOKUP(2^15,SEARCH(Rules!$A$2:$A$200&amp;"",$B683)/(Rules!$A$2:$A$200&lt;&gt;""),Rules!$B$2:$B$200),"Uncategorized"))</f>
        <v/>
      </c>
      <c r="E683" s="3" t="str">
        <f aca="false">IF($B683="","",IF($C683&gt;=0,"Income","Expense"))</f>
        <v/>
      </c>
      <c r="F683" s="3" t="str">
        <f aca="false">IF($B683="","",IFERROR(LOOKUP(2^15,SEARCH(Rules!$A$2:$A$200&amp;"",$B683)/(Rules!$A$2:$A$200&lt;&gt;""),Rules!$A$2:$A$200),""))</f>
        <v/>
      </c>
      <c r="G683" s="3" t="str">
        <f aca="false">IF($B683="","",IF(D683="Uncategorized","⚠ Review",IF(IFERROR(LOOKUP(2^15,SEARCH(Rules!$A$2:$A$200&amp;"",$B683)/(Rules!$A$2:$A$200&lt;&gt;""),Rules!$C$2:$C$200),"")&lt;&gt;E683,"⚠ Check sign","OK")))</f>
        <v/>
      </c>
    </row>
    <row r="684" customFormat="false" ht="15" hidden="false" customHeight="false" outlineLevel="0" collapsed="false">
      <c r="A684" s="3"/>
      <c r="B684" s="3"/>
      <c r="C684" s="3"/>
      <c r="D684" s="3" t="str">
        <f aca="false">IF($B684="","",IFERROR(LOOKUP(2^15,SEARCH(Rules!$A$2:$A$200&amp;"",$B684)/(Rules!$A$2:$A$200&lt;&gt;""),Rules!$B$2:$B$200),"Uncategorized"))</f>
        <v/>
      </c>
      <c r="E684" s="3" t="str">
        <f aca="false">IF($B684="","",IF($C684&gt;=0,"Income","Expense"))</f>
        <v/>
      </c>
      <c r="F684" s="3" t="str">
        <f aca="false">IF($B684="","",IFERROR(LOOKUP(2^15,SEARCH(Rules!$A$2:$A$200&amp;"",$B684)/(Rules!$A$2:$A$200&lt;&gt;""),Rules!$A$2:$A$200),""))</f>
        <v/>
      </c>
      <c r="G684" s="3" t="str">
        <f aca="false">IF($B684="","",IF(D684="Uncategorized","⚠ Review",IF(IFERROR(LOOKUP(2^15,SEARCH(Rules!$A$2:$A$200&amp;"",$B684)/(Rules!$A$2:$A$200&lt;&gt;""),Rules!$C$2:$C$200),"")&lt;&gt;E684,"⚠ Check sign","OK")))</f>
        <v/>
      </c>
    </row>
    <row r="685" customFormat="false" ht="15" hidden="false" customHeight="false" outlineLevel="0" collapsed="false">
      <c r="A685" s="3"/>
      <c r="B685" s="3"/>
      <c r="C685" s="3"/>
      <c r="D685" s="3" t="str">
        <f aca="false">IF($B685="","",IFERROR(LOOKUP(2^15,SEARCH(Rules!$A$2:$A$200&amp;"",$B685)/(Rules!$A$2:$A$200&lt;&gt;""),Rules!$B$2:$B$200),"Uncategorized"))</f>
        <v/>
      </c>
      <c r="E685" s="3" t="str">
        <f aca="false">IF($B685="","",IF($C685&gt;=0,"Income","Expense"))</f>
        <v/>
      </c>
      <c r="F685" s="3" t="str">
        <f aca="false">IF($B685="","",IFERROR(LOOKUP(2^15,SEARCH(Rules!$A$2:$A$200&amp;"",$B685)/(Rules!$A$2:$A$200&lt;&gt;""),Rules!$A$2:$A$200),""))</f>
        <v/>
      </c>
      <c r="G685" s="3" t="str">
        <f aca="false">IF($B685="","",IF(D685="Uncategorized","⚠ Review",IF(IFERROR(LOOKUP(2^15,SEARCH(Rules!$A$2:$A$200&amp;"",$B685)/(Rules!$A$2:$A$200&lt;&gt;""),Rules!$C$2:$C$200),"")&lt;&gt;E685,"⚠ Check sign","OK")))</f>
        <v/>
      </c>
    </row>
    <row r="686" customFormat="false" ht="15" hidden="false" customHeight="false" outlineLevel="0" collapsed="false">
      <c r="A686" s="3"/>
      <c r="B686" s="3"/>
      <c r="C686" s="3"/>
      <c r="D686" s="3" t="str">
        <f aca="false">IF($B686="","",IFERROR(LOOKUP(2^15,SEARCH(Rules!$A$2:$A$200&amp;"",$B686)/(Rules!$A$2:$A$200&lt;&gt;""),Rules!$B$2:$B$200),"Uncategorized"))</f>
        <v/>
      </c>
      <c r="E686" s="3" t="str">
        <f aca="false">IF($B686="","",IF($C686&gt;=0,"Income","Expense"))</f>
        <v/>
      </c>
      <c r="F686" s="3" t="str">
        <f aca="false">IF($B686="","",IFERROR(LOOKUP(2^15,SEARCH(Rules!$A$2:$A$200&amp;"",$B686)/(Rules!$A$2:$A$200&lt;&gt;""),Rules!$A$2:$A$200),""))</f>
        <v/>
      </c>
      <c r="G686" s="3" t="str">
        <f aca="false">IF($B686="","",IF(D686="Uncategorized","⚠ Review",IF(IFERROR(LOOKUP(2^15,SEARCH(Rules!$A$2:$A$200&amp;"",$B686)/(Rules!$A$2:$A$200&lt;&gt;""),Rules!$C$2:$C$200),"")&lt;&gt;E686,"⚠ Check sign","OK")))</f>
        <v/>
      </c>
    </row>
    <row r="687" customFormat="false" ht="15" hidden="false" customHeight="false" outlineLevel="0" collapsed="false">
      <c r="A687" s="3"/>
      <c r="B687" s="3"/>
      <c r="C687" s="3"/>
      <c r="D687" s="3" t="str">
        <f aca="false">IF($B687="","",IFERROR(LOOKUP(2^15,SEARCH(Rules!$A$2:$A$200&amp;"",$B687)/(Rules!$A$2:$A$200&lt;&gt;""),Rules!$B$2:$B$200),"Uncategorized"))</f>
        <v/>
      </c>
      <c r="E687" s="3" t="str">
        <f aca="false">IF($B687="","",IF($C687&gt;=0,"Income","Expense"))</f>
        <v/>
      </c>
      <c r="F687" s="3" t="str">
        <f aca="false">IF($B687="","",IFERROR(LOOKUP(2^15,SEARCH(Rules!$A$2:$A$200&amp;"",$B687)/(Rules!$A$2:$A$200&lt;&gt;""),Rules!$A$2:$A$200),""))</f>
        <v/>
      </c>
      <c r="G687" s="3" t="str">
        <f aca="false">IF($B687="","",IF(D687="Uncategorized","⚠ Review",IF(IFERROR(LOOKUP(2^15,SEARCH(Rules!$A$2:$A$200&amp;"",$B687)/(Rules!$A$2:$A$200&lt;&gt;""),Rules!$C$2:$C$200),"")&lt;&gt;E687,"⚠ Check sign","OK")))</f>
        <v/>
      </c>
    </row>
    <row r="688" customFormat="false" ht="15" hidden="false" customHeight="false" outlineLevel="0" collapsed="false">
      <c r="A688" s="3"/>
      <c r="B688" s="3"/>
      <c r="C688" s="3"/>
      <c r="D688" s="3" t="str">
        <f aca="false">IF($B688="","",IFERROR(LOOKUP(2^15,SEARCH(Rules!$A$2:$A$200&amp;"",$B688)/(Rules!$A$2:$A$200&lt;&gt;""),Rules!$B$2:$B$200),"Uncategorized"))</f>
        <v/>
      </c>
      <c r="E688" s="3" t="str">
        <f aca="false">IF($B688="","",IF($C688&gt;=0,"Income","Expense"))</f>
        <v/>
      </c>
      <c r="F688" s="3" t="str">
        <f aca="false">IF($B688="","",IFERROR(LOOKUP(2^15,SEARCH(Rules!$A$2:$A$200&amp;"",$B688)/(Rules!$A$2:$A$200&lt;&gt;""),Rules!$A$2:$A$200),""))</f>
        <v/>
      </c>
      <c r="G688" s="3" t="str">
        <f aca="false">IF($B688="","",IF(D688="Uncategorized","⚠ Review",IF(IFERROR(LOOKUP(2^15,SEARCH(Rules!$A$2:$A$200&amp;"",$B688)/(Rules!$A$2:$A$200&lt;&gt;""),Rules!$C$2:$C$200),"")&lt;&gt;E688,"⚠ Check sign","OK")))</f>
        <v/>
      </c>
    </row>
    <row r="689" customFormat="false" ht="15" hidden="false" customHeight="false" outlineLevel="0" collapsed="false">
      <c r="A689" s="3"/>
      <c r="B689" s="3"/>
      <c r="C689" s="3"/>
      <c r="D689" s="3" t="str">
        <f aca="false">IF($B689="","",IFERROR(LOOKUP(2^15,SEARCH(Rules!$A$2:$A$200&amp;"",$B689)/(Rules!$A$2:$A$200&lt;&gt;""),Rules!$B$2:$B$200),"Uncategorized"))</f>
        <v/>
      </c>
      <c r="E689" s="3" t="str">
        <f aca="false">IF($B689="","",IF($C689&gt;=0,"Income","Expense"))</f>
        <v/>
      </c>
      <c r="F689" s="3" t="str">
        <f aca="false">IF($B689="","",IFERROR(LOOKUP(2^15,SEARCH(Rules!$A$2:$A$200&amp;"",$B689)/(Rules!$A$2:$A$200&lt;&gt;""),Rules!$A$2:$A$200),""))</f>
        <v/>
      </c>
      <c r="G689" s="3" t="str">
        <f aca="false">IF($B689="","",IF(D689="Uncategorized","⚠ Review",IF(IFERROR(LOOKUP(2^15,SEARCH(Rules!$A$2:$A$200&amp;"",$B689)/(Rules!$A$2:$A$200&lt;&gt;""),Rules!$C$2:$C$200),"")&lt;&gt;E689,"⚠ Check sign","OK")))</f>
        <v/>
      </c>
    </row>
    <row r="690" customFormat="false" ht="15" hidden="false" customHeight="false" outlineLevel="0" collapsed="false">
      <c r="A690" s="3"/>
      <c r="B690" s="3"/>
      <c r="C690" s="3"/>
      <c r="D690" s="3" t="str">
        <f aca="false">IF($B690="","",IFERROR(LOOKUP(2^15,SEARCH(Rules!$A$2:$A$200&amp;"",$B690)/(Rules!$A$2:$A$200&lt;&gt;""),Rules!$B$2:$B$200),"Uncategorized"))</f>
        <v/>
      </c>
      <c r="E690" s="3" t="str">
        <f aca="false">IF($B690="","",IF($C690&gt;=0,"Income","Expense"))</f>
        <v/>
      </c>
      <c r="F690" s="3" t="str">
        <f aca="false">IF($B690="","",IFERROR(LOOKUP(2^15,SEARCH(Rules!$A$2:$A$200&amp;"",$B690)/(Rules!$A$2:$A$200&lt;&gt;""),Rules!$A$2:$A$200),""))</f>
        <v/>
      </c>
      <c r="G690" s="3" t="str">
        <f aca="false">IF($B690="","",IF(D690="Uncategorized","⚠ Review",IF(IFERROR(LOOKUP(2^15,SEARCH(Rules!$A$2:$A$200&amp;"",$B690)/(Rules!$A$2:$A$200&lt;&gt;""),Rules!$C$2:$C$200),"")&lt;&gt;E690,"⚠ Check sign","OK")))</f>
        <v/>
      </c>
    </row>
    <row r="691" customFormat="false" ht="15" hidden="false" customHeight="false" outlineLevel="0" collapsed="false">
      <c r="A691" s="3"/>
      <c r="B691" s="3"/>
      <c r="C691" s="3"/>
      <c r="D691" s="3" t="str">
        <f aca="false">IF($B691="","",IFERROR(LOOKUP(2^15,SEARCH(Rules!$A$2:$A$200&amp;"",$B691)/(Rules!$A$2:$A$200&lt;&gt;""),Rules!$B$2:$B$200),"Uncategorized"))</f>
        <v/>
      </c>
      <c r="E691" s="3" t="str">
        <f aca="false">IF($B691="","",IF($C691&gt;=0,"Income","Expense"))</f>
        <v/>
      </c>
      <c r="F691" s="3" t="str">
        <f aca="false">IF($B691="","",IFERROR(LOOKUP(2^15,SEARCH(Rules!$A$2:$A$200&amp;"",$B691)/(Rules!$A$2:$A$200&lt;&gt;""),Rules!$A$2:$A$200),""))</f>
        <v/>
      </c>
      <c r="G691" s="3" t="str">
        <f aca="false">IF($B691="","",IF(D691="Uncategorized","⚠ Review",IF(IFERROR(LOOKUP(2^15,SEARCH(Rules!$A$2:$A$200&amp;"",$B691)/(Rules!$A$2:$A$200&lt;&gt;""),Rules!$C$2:$C$200),"")&lt;&gt;E691,"⚠ Check sign","OK")))</f>
        <v/>
      </c>
    </row>
    <row r="692" customFormat="false" ht="15" hidden="false" customHeight="false" outlineLevel="0" collapsed="false">
      <c r="A692" s="3"/>
      <c r="B692" s="3"/>
      <c r="C692" s="3"/>
      <c r="D692" s="3" t="str">
        <f aca="false">IF($B692="","",IFERROR(LOOKUP(2^15,SEARCH(Rules!$A$2:$A$200&amp;"",$B692)/(Rules!$A$2:$A$200&lt;&gt;""),Rules!$B$2:$B$200),"Uncategorized"))</f>
        <v/>
      </c>
      <c r="E692" s="3" t="str">
        <f aca="false">IF($B692="","",IF($C692&gt;=0,"Income","Expense"))</f>
        <v/>
      </c>
      <c r="F692" s="3" t="str">
        <f aca="false">IF($B692="","",IFERROR(LOOKUP(2^15,SEARCH(Rules!$A$2:$A$200&amp;"",$B692)/(Rules!$A$2:$A$200&lt;&gt;""),Rules!$A$2:$A$200),""))</f>
        <v/>
      </c>
      <c r="G692" s="3" t="str">
        <f aca="false">IF($B692="","",IF(D692="Uncategorized","⚠ Review",IF(IFERROR(LOOKUP(2^15,SEARCH(Rules!$A$2:$A$200&amp;"",$B692)/(Rules!$A$2:$A$200&lt;&gt;""),Rules!$C$2:$C$200),"")&lt;&gt;E692,"⚠ Check sign","OK")))</f>
        <v/>
      </c>
    </row>
    <row r="693" customFormat="false" ht="15" hidden="false" customHeight="false" outlineLevel="0" collapsed="false">
      <c r="A693" s="3"/>
      <c r="B693" s="3"/>
      <c r="C693" s="3"/>
      <c r="D693" s="3" t="str">
        <f aca="false">IF($B693="","",IFERROR(LOOKUP(2^15,SEARCH(Rules!$A$2:$A$200&amp;"",$B693)/(Rules!$A$2:$A$200&lt;&gt;""),Rules!$B$2:$B$200),"Uncategorized"))</f>
        <v/>
      </c>
      <c r="E693" s="3" t="str">
        <f aca="false">IF($B693="","",IF($C693&gt;=0,"Income","Expense"))</f>
        <v/>
      </c>
      <c r="F693" s="3" t="str">
        <f aca="false">IF($B693="","",IFERROR(LOOKUP(2^15,SEARCH(Rules!$A$2:$A$200&amp;"",$B693)/(Rules!$A$2:$A$200&lt;&gt;""),Rules!$A$2:$A$200),""))</f>
        <v/>
      </c>
      <c r="G693" s="3" t="str">
        <f aca="false">IF($B693="","",IF(D693="Uncategorized","⚠ Review",IF(IFERROR(LOOKUP(2^15,SEARCH(Rules!$A$2:$A$200&amp;"",$B693)/(Rules!$A$2:$A$200&lt;&gt;""),Rules!$C$2:$C$200),"")&lt;&gt;E693,"⚠ Check sign","OK")))</f>
        <v/>
      </c>
    </row>
    <row r="694" customFormat="false" ht="15" hidden="false" customHeight="false" outlineLevel="0" collapsed="false">
      <c r="A694" s="3"/>
      <c r="B694" s="3"/>
      <c r="C694" s="3"/>
      <c r="D694" s="3" t="str">
        <f aca="false">IF($B694="","",IFERROR(LOOKUP(2^15,SEARCH(Rules!$A$2:$A$200&amp;"",$B694)/(Rules!$A$2:$A$200&lt;&gt;""),Rules!$B$2:$B$200),"Uncategorized"))</f>
        <v/>
      </c>
      <c r="E694" s="3" t="str">
        <f aca="false">IF($B694="","",IF($C694&gt;=0,"Income","Expense"))</f>
        <v/>
      </c>
      <c r="F694" s="3" t="str">
        <f aca="false">IF($B694="","",IFERROR(LOOKUP(2^15,SEARCH(Rules!$A$2:$A$200&amp;"",$B694)/(Rules!$A$2:$A$200&lt;&gt;""),Rules!$A$2:$A$200),""))</f>
        <v/>
      </c>
      <c r="G694" s="3" t="str">
        <f aca="false">IF($B694="","",IF(D694="Uncategorized","⚠ Review",IF(IFERROR(LOOKUP(2^15,SEARCH(Rules!$A$2:$A$200&amp;"",$B694)/(Rules!$A$2:$A$200&lt;&gt;""),Rules!$C$2:$C$200),"")&lt;&gt;E694,"⚠ Check sign","OK")))</f>
        <v/>
      </c>
    </row>
    <row r="695" customFormat="false" ht="15" hidden="false" customHeight="false" outlineLevel="0" collapsed="false">
      <c r="A695" s="3"/>
      <c r="B695" s="3"/>
      <c r="C695" s="3"/>
      <c r="D695" s="3" t="str">
        <f aca="false">IF($B695="","",IFERROR(LOOKUP(2^15,SEARCH(Rules!$A$2:$A$200&amp;"",$B695)/(Rules!$A$2:$A$200&lt;&gt;""),Rules!$B$2:$B$200),"Uncategorized"))</f>
        <v/>
      </c>
      <c r="E695" s="3" t="str">
        <f aca="false">IF($B695="","",IF($C695&gt;=0,"Income","Expense"))</f>
        <v/>
      </c>
      <c r="F695" s="3" t="str">
        <f aca="false">IF($B695="","",IFERROR(LOOKUP(2^15,SEARCH(Rules!$A$2:$A$200&amp;"",$B695)/(Rules!$A$2:$A$200&lt;&gt;""),Rules!$A$2:$A$200),""))</f>
        <v/>
      </c>
      <c r="G695" s="3" t="str">
        <f aca="false">IF($B695="","",IF(D695="Uncategorized","⚠ Review",IF(IFERROR(LOOKUP(2^15,SEARCH(Rules!$A$2:$A$200&amp;"",$B695)/(Rules!$A$2:$A$200&lt;&gt;""),Rules!$C$2:$C$200),"")&lt;&gt;E695,"⚠ Check sign","OK")))</f>
        <v/>
      </c>
    </row>
    <row r="696" customFormat="false" ht="15" hidden="false" customHeight="false" outlineLevel="0" collapsed="false">
      <c r="A696" s="3"/>
      <c r="B696" s="3"/>
      <c r="C696" s="3"/>
      <c r="D696" s="3" t="str">
        <f aca="false">IF($B696="","",IFERROR(LOOKUP(2^15,SEARCH(Rules!$A$2:$A$200&amp;"",$B696)/(Rules!$A$2:$A$200&lt;&gt;""),Rules!$B$2:$B$200),"Uncategorized"))</f>
        <v/>
      </c>
      <c r="E696" s="3" t="str">
        <f aca="false">IF($B696="","",IF($C696&gt;=0,"Income","Expense"))</f>
        <v/>
      </c>
      <c r="F696" s="3" t="str">
        <f aca="false">IF($B696="","",IFERROR(LOOKUP(2^15,SEARCH(Rules!$A$2:$A$200&amp;"",$B696)/(Rules!$A$2:$A$200&lt;&gt;""),Rules!$A$2:$A$200),""))</f>
        <v/>
      </c>
      <c r="G696" s="3" t="str">
        <f aca="false">IF($B696="","",IF(D696="Uncategorized","⚠ Review",IF(IFERROR(LOOKUP(2^15,SEARCH(Rules!$A$2:$A$200&amp;"",$B696)/(Rules!$A$2:$A$200&lt;&gt;""),Rules!$C$2:$C$200),"")&lt;&gt;E696,"⚠ Check sign","OK")))</f>
        <v/>
      </c>
    </row>
    <row r="697" customFormat="false" ht="15" hidden="false" customHeight="false" outlineLevel="0" collapsed="false">
      <c r="A697" s="3"/>
      <c r="B697" s="3"/>
      <c r="C697" s="3"/>
      <c r="D697" s="3" t="str">
        <f aca="false">IF($B697="","",IFERROR(LOOKUP(2^15,SEARCH(Rules!$A$2:$A$200&amp;"",$B697)/(Rules!$A$2:$A$200&lt;&gt;""),Rules!$B$2:$B$200),"Uncategorized"))</f>
        <v/>
      </c>
      <c r="E697" s="3" t="str">
        <f aca="false">IF($B697="","",IF($C697&gt;=0,"Income","Expense"))</f>
        <v/>
      </c>
      <c r="F697" s="3" t="str">
        <f aca="false">IF($B697="","",IFERROR(LOOKUP(2^15,SEARCH(Rules!$A$2:$A$200&amp;"",$B697)/(Rules!$A$2:$A$200&lt;&gt;""),Rules!$A$2:$A$200),""))</f>
        <v/>
      </c>
      <c r="G697" s="3" t="str">
        <f aca="false">IF($B697="","",IF(D697="Uncategorized","⚠ Review",IF(IFERROR(LOOKUP(2^15,SEARCH(Rules!$A$2:$A$200&amp;"",$B697)/(Rules!$A$2:$A$200&lt;&gt;""),Rules!$C$2:$C$200),"")&lt;&gt;E697,"⚠ Check sign","OK")))</f>
        <v/>
      </c>
    </row>
    <row r="698" customFormat="false" ht="15" hidden="false" customHeight="false" outlineLevel="0" collapsed="false">
      <c r="A698" s="3"/>
      <c r="B698" s="3"/>
      <c r="C698" s="3"/>
      <c r="D698" s="3" t="str">
        <f aca="false">IF($B698="","",IFERROR(LOOKUP(2^15,SEARCH(Rules!$A$2:$A$200&amp;"",$B698)/(Rules!$A$2:$A$200&lt;&gt;""),Rules!$B$2:$B$200),"Uncategorized"))</f>
        <v/>
      </c>
      <c r="E698" s="3" t="str">
        <f aca="false">IF($B698="","",IF($C698&gt;=0,"Income","Expense"))</f>
        <v/>
      </c>
      <c r="F698" s="3" t="str">
        <f aca="false">IF($B698="","",IFERROR(LOOKUP(2^15,SEARCH(Rules!$A$2:$A$200&amp;"",$B698)/(Rules!$A$2:$A$200&lt;&gt;""),Rules!$A$2:$A$200),""))</f>
        <v/>
      </c>
      <c r="G698" s="3" t="str">
        <f aca="false">IF($B698="","",IF(D698="Uncategorized","⚠ Review",IF(IFERROR(LOOKUP(2^15,SEARCH(Rules!$A$2:$A$200&amp;"",$B698)/(Rules!$A$2:$A$200&lt;&gt;""),Rules!$C$2:$C$200),"")&lt;&gt;E698,"⚠ Check sign","OK")))</f>
        <v/>
      </c>
    </row>
    <row r="699" customFormat="false" ht="15" hidden="false" customHeight="false" outlineLevel="0" collapsed="false">
      <c r="A699" s="3"/>
      <c r="B699" s="3"/>
      <c r="C699" s="3"/>
      <c r="D699" s="3" t="str">
        <f aca="false">IF($B699="","",IFERROR(LOOKUP(2^15,SEARCH(Rules!$A$2:$A$200&amp;"",$B699)/(Rules!$A$2:$A$200&lt;&gt;""),Rules!$B$2:$B$200),"Uncategorized"))</f>
        <v/>
      </c>
      <c r="E699" s="3" t="str">
        <f aca="false">IF($B699="","",IF($C699&gt;=0,"Income","Expense"))</f>
        <v/>
      </c>
      <c r="F699" s="3" t="str">
        <f aca="false">IF($B699="","",IFERROR(LOOKUP(2^15,SEARCH(Rules!$A$2:$A$200&amp;"",$B699)/(Rules!$A$2:$A$200&lt;&gt;""),Rules!$A$2:$A$200),""))</f>
        <v/>
      </c>
      <c r="G699" s="3" t="str">
        <f aca="false">IF($B699="","",IF(D699="Uncategorized","⚠ Review",IF(IFERROR(LOOKUP(2^15,SEARCH(Rules!$A$2:$A$200&amp;"",$B699)/(Rules!$A$2:$A$200&lt;&gt;""),Rules!$C$2:$C$200),"")&lt;&gt;E699,"⚠ Check sign","OK")))</f>
        <v/>
      </c>
    </row>
    <row r="700" customFormat="false" ht="15" hidden="false" customHeight="false" outlineLevel="0" collapsed="false">
      <c r="A700" s="3"/>
      <c r="B700" s="3"/>
      <c r="C700" s="3"/>
      <c r="D700" s="3" t="str">
        <f aca="false">IF($B700="","",IFERROR(LOOKUP(2^15,SEARCH(Rules!$A$2:$A$200&amp;"",$B700)/(Rules!$A$2:$A$200&lt;&gt;""),Rules!$B$2:$B$200),"Uncategorized"))</f>
        <v/>
      </c>
      <c r="E700" s="3" t="str">
        <f aca="false">IF($B700="","",IF($C700&gt;=0,"Income","Expense"))</f>
        <v/>
      </c>
      <c r="F700" s="3" t="str">
        <f aca="false">IF($B700="","",IFERROR(LOOKUP(2^15,SEARCH(Rules!$A$2:$A$200&amp;"",$B700)/(Rules!$A$2:$A$200&lt;&gt;""),Rules!$A$2:$A$200),""))</f>
        <v/>
      </c>
      <c r="G700" s="3" t="str">
        <f aca="false">IF($B700="","",IF(D700="Uncategorized","⚠ Review",IF(IFERROR(LOOKUP(2^15,SEARCH(Rules!$A$2:$A$200&amp;"",$B700)/(Rules!$A$2:$A$200&lt;&gt;""),Rules!$C$2:$C$200),"")&lt;&gt;E700,"⚠ Check sign","OK")))</f>
        <v/>
      </c>
    </row>
    <row r="701" customFormat="false" ht="15" hidden="false" customHeight="false" outlineLevel="0" collapsed="false">
      <c r="A701" s="3"/>
      <c r="B701" s="3"/>
      <c r="C701" s="3"/>
      <c r="D701" s="3" t="str">
        <f aca="false">IF($B701="","",IFERROR(LOOKUP(2^15,SEARCH(Rules!$A$2:$A$200&amp;"",$B701)/(Rules!$A$2:$A$200&lt;&gt;""),Rules!$B$2:$B$200),"Uncategorized"))</f>
        <v/>
      </c>
      <c r="E701" s="3" t="str">
        <f aca="false">IF($B701="","",IF($C701&gt;=0,"Income","Expense"))</f>
        <v/>
      </c>
      <c r="F701" s="3" t="str">
        <f aca="false">IF($B701="","",IFERROR(LOOKUP(2^15,SEARCH(Rules!$A$2:$A$200&amp;"",$B701)/(Rules!$A$2:$A$200&lt;&gt;""),Rules!$A$2:$A$200),""))</f>
        <v/>
      </c>
      <c r="G701" s="3" t="str">
        <f aca="false">IF($B701="","",IF(D701="Uncategorized","⚠ Review",IF(IFERROR(LOOKUP(2^15,SEARCH(Rules!$A$2:$A$200&amp;"",$B701)/(Rules!$A$2:$A$200&lt;&gt;""),Rules!$C$2:$C$200),"")&lt;&gt;E701,"⚠ Check sign","OK")))</f>
        <v/>
      </c>
    </row>
    <row r="702" customFormat="false" ht="15" hidden="false" customHeight="false" outlineLevel="0" collapsed="false">
      <c r="A702" s="3"/>
      <c r="B702" s="3"/>
      <c r="C702" s="3"/>
      <c r="D702" s="3" t="str">
        <f aca="false">IF($B702="","",IFERROR(LOOKUP(2^15,SEARCH(Rules!$A$2:$A$200&amp;"",$B702)/(Rules!$A$2:$A$200&lt;&gt;""),Rules!$B$2:$B$200),"Uncategorized"))</f>
        <v/>
      </c>
      <c r="E702" s="3" t="str">
        <f aca="false">IF($B702="","",IF($C702&gt;=0,"Income","Expense"))</f>
        <v/>
      </c>
      <c r="F702" s="3" t="str">
        <f aca="false">IF($B702="","",IFERROR(LOOKUP(2^15,SEARCH(Rules!$A$2:$A$200&amp;"",$B702)/(Rules!$A$2:$A$200&lt;&gt;""),Rules!$A$2:$A$200),""))</f>
        <v/>
      </c>
      <c r="G702" s="3" t="str">
        <f aca="false">IF($B702="","",IF(D702="Uncategorized","⚠ Review",IF(IFERROR(LOOKUP(2^15,SEARCH(Rules!$A$2:$A$200&amp;"",$B702)/(Rules!$A$2:$A$200&lt;&gt;""),Rules!$C$2:$C$200),"")&lt;&gt;E702,"⚠ Check sign","OK")))</f>
        <v/>
      </c>
    </row>
    <row r="703" customFormat="false" ht="15" hidden="false" customHeight="false" outlineLevel="0" collapsed="false">
      <c r="A703" s="3"/>
      <c r="B703" s="3"/>
      <c r="C703" s="3"/>
      <c r="D703" s="3" t="str">
        <f aca="false">IF($B703="","",IFERROR(LOOKUP(2^15,SEARCH(Rules!$A$2:$A$200&amp;"",$B703)/(Rules!$A$2:$A$200&lt;&gt;""),Rules!$B$2:$B$200),"Uncategorized"))</f>
        <v/>
      </c>
      <c r="E703" s="3" t="str">
        <f aca="false">IF($B703="","",IF($C703&gt;=0,"Income","Expense"))</f>
        <v/>
      </c>
      <c r="F703" s="3" t="str">
        <f aca="false">IF($B703="","",IFERROR(LOOKUP(2^15,SEARCH(Rules!$A$2:$A$200&amp;"",$B703)/(Rules!$A$2:$A$200&lt;&gt;""),Rules!$A$2:$A$200),""))</f>
        <v/>
      </c>
      <c r="G703" s="3" t="str">
        <f aca="false">IF($B703="","",IF(D703="Uncategorized","⚠ Review",IF(IFERROR(LOOKUP(2^15,SEARCH(Rules!$A$2:$A$200&amp;"",$B703)/(Rules!$A$2:$A$200&lt;&gt;""),Rules!$C$2:$C$200),"")&lt;&gt;E703,"⚠ Check sign","OK")))</f>
        <v/>
      </c>
    </row>
    <row r="704" customFormat="false" ht="15" hidden="false" customHeight="false" outlineLevel="0" collapsed="false">
      <c r="A704" s="3"/>
      <c r="B704" s="3"/>
      <c r="C704" s="3"/>
      <c r="D704" s="3" t="str">
        <f aca="false">IF($B704="","",IFERROR(LOOKUP(2^15,SEARCH(Rules!$A$2:$A$200&amp;"",$B704)/(Rules!$A$2:$A$200&lt;&gt;""),Rules!$B$2:$B$200),"Uncategorized"))</f>
        <v/>
      </c>
      <c r="E704" s="3" t="str">
        <f aca="false">IF($B704="","",IF($C704&gt;=0,"Income","Expense"))</f>
        <v/>
      </c>
      <c r="F704" s="3" t="str">
        <f aca="false">IF($B704="","",IFERROR(LOOKUP(2^15,SEARCH(Rules!$A$2:$A$200&amp;"",$B704)/(Rules!$A$2:$A$200&lt;&gt;""),Rules!$A$2:$A$200),""))</f>
        <v/>
      </c>
      <c r="G704" s="3" t="str">
        <f aca="false">IF($B704="","",IF(D704="Uncategorized","⚠ Review",IF(IFERROR(LOOKUP(2^15,SEARCH(Rules!$A$2:$A$200&amp;"",$B704)/(Rules!$A$2:$A$200&lt;&gt;""),Rules!$C$2:$C$200),"")&lt;&gt;E704,"⚠ Check sign","OK")))</f>
        <v/>
      </c>
    </row>
    <row r="705" customFormat="false" ht="15" hidden="false" customHeight="false" outlineLevel="0" collapsed="false">
      <c r="A705" s="3"/>
      <c r="B705" s="3"/>
      <c r="C705" s="3"/>
      <c r="D705" s="3" t="str">
        <f aca="false">IF($B705="","",IFERROR(LOOKUP(2^15,SEARCH(Rules!$A$2:$A$200&amp;"",$B705)/(Rules!$A$2:$A$200&lt;&gt;""),Rules!$B$2:$B$200),"Uncategorized"))</f>
        <v/>
      </c>
      <c r="E705" s="3" t="str">
        <f aca="false">IF($B705="","",IF($C705&gt;=0,"Income","Expense"))</f>
        <v/>
      </c>
      <c r="F705" s="3" t="str">
        <f aca="false">IF($B705="","",IFERROR(LOOKUP(2^15,SEARCH(Rules!$A$2:$A$200&amp;"",$B705)/(Rules!$A$2:$A$200&lt;&gt;""),Rules!$A$2:$A$200),""))</f>
        <v/>
      </c>
      <c r="G705" s="3" t="str">
        <f aca="false">IF($B705="","",IF(D705="Uncategorized","⚠ Review",IF(IFERROR(LOOKUP(2^15,SEARCH(Rules!$A$2:$A$200&amp;"",$B705)/(Rules!$A$2:$A$200&lt;&gt;""),Rules!$C$2:$C$200),"")&lt;&gt;E705,"⚠ Check sign","OK")))</f>
        <v/>
      </c>
    </row>
    <row r="706" customFormat="false" ht="15" hidden="false" customHeight="false" outlineLevel="0" collapsed="false">
      <c r="A706" s="3"/>
      <c r="B706" s="3"/>
      <c r="C706" s="3"/>
      <c r="D706" s="3" t="str">
        <f aca="false">IF($B706="","",IFERROR(LOOKUP(2^15,SEARCH(Rules!$A$2:$A$200&amp;"",$B706)/(Rules!$A$2:$A$200&lt;&gt;""),Rules!$B$2:$B$200),"Uncategorized"))</f>
        <v/>
      </c>
      <c r="E706" s="3" t="str">
        <f aca="false">IF($B706="","",IF($C706&gt;=0,"Income","Expense"))</f>
        <v/>
      </c>
      <c r="F706" s="3" t="str">
        <f aca="false">IF($B706="","",IFERROR(LOOKUP(2^15,SEARCH(Rules!$A$2:$A$200&amp;"",$B706)/(Rules!$A$2:$A$200&lt;&gt;""),Rules!$A$2:$A$200),""))</f>
        <v/>
      </c>
      <c r="G706" s="3" t="str">
        <f aca="false">IF($B706="","",IF(D706="Uncategorized","⚠ Review",IF(IFERROR(LOOKUP(2^15,SEARCH(Rules!$A$2:$A$200&amp;"",$B706)/(Rules!$A$2:$A$200&lt;&gt;""),Rules!$C$2:$C$200),"")&lt;&gt;E706,"⚠ Check sign","OK")))</f>
        <v/>
      </c>
    </row>
    <row r="707" customFormat="false" ht="15" hidden="false" customHeight="false" outlineLevel="0" collapsed="false">
      <c r="A707" s="3"/>
      <c r="B707" s="3"/>
      <c r="C707" s="3"/>
      <c r="D707" s="3" t="str">
        <f aca="false">IF($B707="","",IFERROR(LOOKUP(2^15,SEARCH(Rules!$A$2:$A$200&amp;"",$B707)/(Rules!$A$2:$A$200&lt;&gt;""),Rules!$B$2:$B$200),"Uncategorized"))</f>
        <v/>
      </c>
      <c r="E707" s="3" t="str">
        <f aca="false">IF($B707="","",IF($C707&gt;=0,"Income","Expense"))</f>
        <v/>
      </c>
      <c r="F707" s="3" t="str">
        <f aca="false">IF($B707="","",IFERROR(LOOKUP(2^15,SEARCH(Rules!$A$2:$A$200&amp;"",$B707)/(Rules!$A$2:$A$200&lt;&gt;""),Rules!$A$2:$A$200),""))</f>
        <v/>
      </c>
      <c r="G707" s="3" t="str">
        <f aca="false">IF($B707="","",IF(D707="Uncategorized","⚠ Review",IF(IFERROR(LOOKUP(2^15,SEARCH(Rules!$A$2:$A$200&amp;"",$B707)/(Rules!$A$2:$A$200&lt;&gt;""),Rules!$C$2:$C$200),"")&lt;&gt;E707,"⚠ Check sign","OK")))</f>
        <v/>
      </c>
    </row>
    <row r="708" customFormat="false" ht="15" hidden="false" customHeight="false" outlineLevel="0" collapsed="false">
      <c r="A708" s="3"/>
      <c r="B708" s="3"/>
      <c r="C708" s="3"/>
      <c r="D708" s="3" t="str">
        <f aca="false">IF($B708="","",IFERROR(LOOKUP(2^15,SEARCH(Rules!$A$2:$A$200&amp;"",$B708)/(Rules!$A$2:$A$200&lt;&gt;""),Rules!$B$2:$B$200),"Uncategorized"))</f>
        <v/>
      </c>
      <c r="E708" s="3" t="str">
        <f aca="false">IF($B708="","",IF($C708&gt;=0,"Income","Expense"))</f>
        <v/>
      </c>
      <c r="F708" s="3" t="str">
        <f aca="false">IF($B708="","",IFERROR(LOOKUP(2^15,SEARCH(Rules!$A$2:$A$200&amp;"",$B708)/(Rules!$A$2:$A$200&lt;&gt;""),Rules!$A$2:$A$200),""))</f>
        <v/>
      </c>
      <c r="G708" s="3" t="str">
        <f aca="false">IF($B708="","",IF(D708="Uncategorized","⚠ Review",IF(IFERROR(LOOKUP(2^15,SEARCH(Rules!$A$2:$A$200&amp;"",$B708)/(Rules!$A$2:$A$200&lt;&gt;""),Rules!$C$2:$C$200),"")&lt;&gt;E708,"⚠ Check sign","OK")))</f>
        <v/>
      </c>
    </row>
    <row r="709" customFormat="false" ht="15" hidden="false" customHeight="false" outlineLevel="0" collapsed="false">
      <c r="A709" s="3"/>
      <c r="B709" s="3"/>
      <c r="C709" s="3"/>
      <c r="D709" s="3" t="str">
        <f aca="false">IF($B709="","",IFERROR(LOOKUP(2^15,SEARCH(Rules!$A$2:$A$200&amp;"",$B709)/(Rules!$A$2:$A$200&lt;&gt;""),Rules!$B$2:$B$200),"Uncategorized"))</f>
        <v/>
      </c>
      <c r="E709" s="3" t="str">
        <f aca="false">IF($B709="","",IF($C709&gt;=0,"Income","Expense"))</f>
        <v/>
      </c>
      <c r="F709" s="3" t="str">
        <f aca="false">IF($B709="","",IFERROR(LOOKUP(2^15,SEARCH(Rules!$A$2:$A$200&amp;"",$B709)/(Rules!$A$2:$A$200&lt;&gt;""),Rules!$A$2:$A$200),""))</f>
        <v/>
      </c>
      <c r="G709" s="3" t="str">
        <f aca="false">IF($B709="","",IF(D709="Uncategorized","⚠ Review",IF(IFERROR(LOOKUP(2^15,SEARCH(Rules!$A$2:$A$200&amp;"",$B709)/(Rules!$A$2:$A$200&lt;&gt;""),Rules!$C$2:$C$200),"")&lt;&gt;E709,"⚠ Check sign","OK")))</f>
        <v/>
      </c>
    </row>
    <row r="710" customFormat="false" ht="15" hidden="false" customHeight="false" outlineLevel="0" collapsed="false">
      <c r="A710" s="3"/>
      <c r="B710" s="3"/>
      <c r="C710" s="3"/>
      <c r="D710" s="3" t="str">
        <f aca="false">IF($B710="","",IFERROR(LOOKUP(2^15,SEARCH(Rules!$A$2:$A$200&amp;"",$B710)/(Rules!$A$2:$A$200&lt;&gt;""),Rules!$B$2:$B$200),"Uncategorized"))</f>
        <v/>
      </c>
      <c r="E710" s="3" t="str">
        <f aca="false">IF($B710="","",IF($C710&gt;=0,"Income","Expense"))</f>
        <v/>
      </c>
      <c r="F710" s="3" t="str">
        <f aca="false">IF($B710="","",IFERROR(LOOKUP(2^15,SEARCH(Rules!$A$2:$A$200&amp;"",$B710)/(Rules!$A$2:$A$200&lt;&gt;""),Rules!$A$2:$A$200),""))</f>
        <v/>
      </c>
      <c r="G710" s="3" t="str">
        <f aca="false">IF($B710="","",IF(D710="Uncategorized","⚠ Review",IF(IFERROR(LOOKUP(2^15,SEARCH(Rules!$A$2:$A$200&amp;"",$B710)/(Rules!$A$2:$A$200&lt;&gt;""),Rules!$C$2:$C$200),"")&lt;&gt;E710,"⚠ Check sign","OK")))</f>
        <v/>
      </c>
    </row>
    <row r="711" customFormat="false" ht="15" hidden="false" customHeight="false" outlineLevel="0" collapsed="false">
      <c r="A711" s="3"/>
      <c r="B711" s="3"/>
      <c r="C711" s="3"/>
      <c r="D711" s="3" t="str">
        <f aca="false">IF($B711="","",IFERROR(LOOKUP(2^15,SEARCH(Rules!$A$2:$A$200&amp;"",$B711)/(Rules!$A$2:$A$200&lt;&gt;""),Rules!$B$2:$B$200),"Uncategorized"))</f>
        <v/>
      </c>
      <c r="E711" s="3" t="str">
        <f aca="false">IF($B711="","",IF($C711&gt;=0,"Income","Expense"))</f>
        <v/>
      </c>
      <c r="F711" s="3" t="str">
        <f aca="false">IF($B711="","",IFERROR(LOOKUP(2^15,SEARCH(Rules!$A$2:$A$200&amp;"",$B711)/(Rules!$A$2:$A$200&lt;&gt;""),Rules!$A$2:$A$200),""))</f>
        <v/>
      </c>
      <c r="G711" s="3" t="str">
        <f aca="false">IF($B711="","",IF(D711="Uncategorized","⚠ Review",IF(IFERROR(LOOKUP(2^15,SEARCH(Rules!$A$2:$A$200&amp;"",$B711)/(Rules!$A$2:$A$200&lt;&gt;""),Rules!$C$2:$C$200),"")&lt;&gt;E711,"⚠ Check sign","OK")))</f>
        <v/>
      </c>
    </row>
    <row r="712" customFormat="false" ht="15" hidden="false" customHeight="false" outlineLevel="0" collapsed="false">
      <c r="A712" s="3"/>
      <c r="B712" s="3"/>
      <c r="C712" s="3"/>
      <c r="D712" s="3" t="str">
        <f aca="false">IF($B712="","",IFERROR(LOOKUP(2^15,SEARCH(Rules!$A$2:$A$200&amp;"",$B712)/(Rules!$A$2:$A$200&lt;&gt;""),Rules!$B$2:$B$200),"Uncategorized"))</f>
        <v/>
      </c>
      <c r="E712" s="3" t="str">
        <f aca="false">IF($B712="","",IF($C712&gt;=0,"Income","Expense"))</f>
        <v/>
      </c>
      <c r="F712" s="3" t="str">
        <f aca="false">IF($B712="","",IFERROR(LOOKUP(2^15,SEARCH(Rules!$A$2:$A$200&amp;"",$B712)/(Rules!$A$2:$A$200&lt;&gt;""),Rules!$A$2:$A$200),""))</f>
        <v/>
      </c>
      <c r="G712" s="3" t="str">
        <f aca="false">IF($B712="","",IF(D712="Uncategorized","⚠ Review",IF(IFERROR(LOOKUP(2^15,SEARCH(Rules!$A$2:$A$200&amp;"",$B712)/(Rules!$A$2:$A$200&lt;&gt;""),Rules!$C$2:$C$200),"")&lt;&gt;E712,"⚠ Check sign","OK")))</f>
        <v/>
      </c>
    </row>
    <row r="713" customFormat="false" ht="15" hidden="false" customHeight="false" outlineLevel="0" collapsed="false">
      <c r="A713" s="3"/>
      <c r="B713" s="3"/>
      <c r="C713" s="3"/>
      <c r="D713" s="3" t="str">
        <f aca="false">IF($B713="","",IFERROR(LOOKUP(2^15,SEARCH(Rules!$A$2:$A$200&amp;"",$B713)/(Rules!$A$2:$A$200&lt;&gt;""),Rules!$B$2:$B$200),"Uncategorized"))</f>
        <v/>
      </c>
      <c r="E713" s="3" t="str">
        <f aca="false">IF($B713="","",IF($C713&gt;=0,"Income","Expense"))</f>
        <v/>
      </c>
      <c r="F713" s="3" t="str">
        <f aca="false">IF($B713="","",IFERROR(LOOKUP(2^15,SEARCH(Rules!$A$2:$A$200&amp;"",$B713)/(Rules!$A$2:$A$200&lt;&gt;""),Rules!$A$2:$A$200),""))</f>
        <v/>
      </c>
      <c r="G713" s="3" t="str">
        <f aca="false">IF($B713="","",IF(D713="Uncategorized","⚠ Review",IF(IFERROR(LOOKUP(2^15,SEARCH(Rules!$A$2:$A$200&amp;"",$B713)/(Rules!$A$2:$A$200&lt;&gt;""),Rules!$C$2:$C$200),"")&lt;&gt;E713,"⚠ Check sign","OK")))</f>
        <v/>
      </c>
    </row>
    <row r="714" customFormat="false" ht="15" hidden="false" customHeight="false" outlineLevel="0" collapsed="false">
      <c r="A714" s="3"/>
      <c r="B714" s="3"/>
      <c r="C714" s="3"/>
      <c r="D714" s="3" t="str">
        <f aca="false">IF($B714="","",IFERROR(LOOKUP(2^15,SEARCH(Rules!$A$2:$A$200&amp;"",$B714)/(Rules!$A$2:$A$200&lt;&gt;""),Rules!$B$2:$B$200),"Uncategorized"))</f>
        <v/>
      </c>
      <c r="E714" s="3" t="str">
        <f aca="false">IF($B714="","",IF($C714&gt;=0,"Income","Expense"))</f>
        <v/>
      </c>
      <c r="F714" s="3" t="str">
        <f aca="false">IF($B714="","",IFERROR(LOOKUP(2^15,SEARCH(Rules!$A$2:$A$200&amp;"",$B714)/(Rules!$A$2:$A$200&lt;&gt;""),Rules!$A$2:$A$200),""))</f>
        <v/>
      </c>
      <c r="G714" s="3" t="str">
        <f aca="false">IF($B714="","",IF(D714="Uncategorized","⚠ Review",IF(IFERROR(LOOKUP(2^15,SEARCH(Rules!$A$2:$A$200&amp;"",$B714)/(Rules!$A$2:$A$200&lt;&gt;""),Rules!$C$2:$C$200),"")&lt;&gt;E714,"⚠ Check sign","OK")))</f>
        <v/>
      </c>
    </row>
    <row r="715" customFormat="false" ht="15" hidden="false" customHeight="false" outlineLevel="0" collapsed="false">
      <c r="A715" s="3"/>
      <c r="B715" s="3"/>
      <c r="C715" s="3"/>
      <c r="D715" s="3" t="str">
        <f aca="false">IF($B715="","",IFERROR(LOOKUP(2^15,SEARCH(Rules!$A$2:$A$200&amp;"",$B715)/(Rules!$A$2:$A$200&lt;&gt;""),Rules!$B$2:$B$200),"Uncategorized"))</f>
        <v/>
      </c>
      <c r="E715" s="3" t="str">
        <f aca="false">IF($B715="","",IF($C715&gt;=0,"Income","Expense"))</f>
        <v/>
      </c>
      <c r="F715" s="3" t="str">
        <f aca="false">IF($B715="","",IFERROR(LOOKUP(2^15,SEARCH(Rules!$A$2:$A$200&amp;"",$B715)/(Rules!$A$2:$A$200&lt;&gt;""),Rules!$A$2:$A$200),""))</f>
        <v/>
      </c>
      <c r="G715" s="3" t="str">
        <f aca="false">IF($B715="","",IF(D715="Uncategorized","⚠ Review",IF(IFERROR(LOOKUP(2^15,SEARCH(Rules!$A$2:$A$200&amp;"",$B715)/(Rules!$A$2:$A$200&lt;&gt;""),Rules!$C$2:$C$200),"")&lt;&gt;E715,"⚠ Check sign","OK")))</f>
        <v/>
      </c>
    </row>
    <row r="716" customFormat="false" ht="15" hidden="false" customHeight="false" outlineLevel="0" collapsed="false">
      <c r="A716" s="3"/>
      <c r="B716" s="3"/>
      <c r="C716" s="3"/>
      <c r="D716" s="3" t="str">
        <f aca="false">IF($B716="","",IFERROR(LOOKUP(2^15,SEARCH(Rules!$A$2:$A$200&amp;"",$B716)/(Rules!$A$2:$A$200&lt;&gt;""),Rules!$B$2:$B$200),"Uncategorized"))</f>
        <v/>
      </c>
      <c r="E716" s="3" t="str">
        <f aca="false">IF($B716="","",IF($C716&gt;=0,"Income","Expense"))</f>
        <v/>
      </c>
      <c r="F716" s="3" t="str">
        <f aca="false">IF($B716="","",IFERROR(LOOKUP(2^15,SEARCH(Rules!$A$2:$A$200&amp;"",$B716)/(Rules!$A$2:$A$200&lt;&gt;""),Rules!$A$2:$A$200),""))</f>
        <v/>
      </c>
      <c r="G716" s="3" t="str">
        <f aca="false">IF($B716="","",IF(D716="Uncategorized","⚠ Review",IF(IFERROR(LOOKUP(2^15,SEARCH(Rules!$A$2:$A$200&amp;"",$B716)/(Rules!$A$2:$A$200&lt;&gt;""),Rules!$C$2:$C$200),"")&lt;&gt;E716,"⚠ Check sign","OK")))</f>
        <v/>
      </c>
    </row>
    <row r="717" customFormat="false" ht="15" hidden="false" customHeight="false" outlineLevel="0" collapsed="false">
      <c r="A717" s="3"/>
      <c r="B717" s="3"/>
      <c r="C717" s="3"/>
      <c r="D717" s="3" t="str">
        <f aca="false">IF($B717="","",IFERROR(LOOKUP(2^15,SEARCH(Rules!$A$2:$A$200&amp;"",$B717)/(Rules!$A$2:$A$200&lt;&gt;""),Rules!$B$2:$B$200),"Uncategorized"))</f>
        <v/>
      </c>
      <c r="E717" s="3" t="str">
        <f aca="false">IF($B717="","",IF($C717&gt;=0,"Income","Expense"))</f>
        <v/>
      </c>
      <c r="F717" s="3" t="str">
        <f aca="false">IF($B717="","",IFERROR(LOOKUP(2^15,SEARCH(Rules!$A$2:$A$200&amp;"",$B717)/(Rules!$A$2:$A$200&lt;&gt;""),Rules!$A$2:$A$200),""))</f>
        <v/>
      </c>
      <c r="G717" s="3" t="str">
        <f aca="false">IF($B717="","",IF(D717="Uncategorized","⚠ Review",IF(IFERROR(LOOKUP(2^15,SEARCH(Rules!$A$2:$A$200&amp;"",$B717)/(Rules!$A$2:$A$200&lt;&gt;""),Rules!$C$2:$C$200),"")&lt;&gt;E717,"⚠ Check sign","OK")))</f>
        <v/>
      </c>
    </row>
    <row r="718" customFormat="false" ht="15" hidden="false" customHeight="false" outlineLevel="0" collapsed="false">
      <c r="A718" s="3"/>
      <c r="B718" s="3"/>
      <c r="C718" s="3"/>
      <c r="D718" s="3" t="str">
        <f aca="false">IF($B718="","",IFERROR(LOOKUP(2^15,SEARCH(Rules!$A$2:$A$200&amp;"",$B718)/(Rules!$A$2:$A$200&lt;&gt;""),Rules!$B$2:$B$200),"Uncategorized"))</f>
        <v/>
      </c>
      <c r="E718" s="3" t="str">
        <f aca="false">IF($B718="","",IF($C718&gt;=0,"Income","Expense"))</f>
        <v/>
      </c>
      <c r="F718" s="3" t="str">
        <f aca="false">IF($B718="","",IFERROR(LOOKUP(2^15,SEARCH(Rules!$A$2:$A$200&amp;"",$B718)/(Rules!$A$2:$A$200&lt;&gt;""),Rules!$A$2:$A$200),""))</f>
        <v/>
      </c>
      <c r="G718" s="3" t="str">
        <f aca="false">IF($B718="","",IF(D718="Uncategorized","⚠ Review",IF(IFERROR(LOOKUP(2^15,SEARCH(Rules!$A$2:$A$200&amp;"",$B718)/(Rules!$A$2:$A$200&lt;&gt;""),Rules!$C$2:$C$200),"")&lt;&gt;E718,"⚠ Check sign","OK")))</f>
        <v/>
      </c>
    </row>
    <row r="719" customFormat="false" ht="15" hidden="false" customHeight="false" outlineLevel="0" collapsed="false">
      <c r="A719" s="3"/>
      <c r="B719" s="3"/>
      <c r="C719" s="3"/>
      <c r="D719" s="3" t="str">
        <f aca="false">IF($B719="","",IFERROR(LOOKUP(2^15,SEARCH(Rules!$A$2:$A$200&amp;"",$B719)/(Rules!$A$2:$A$200&lt;&gt;""),Rules!$B$2:$B$200),"Uncategorized"))</f>
        <v/>
      </c>
      <c r="E719" s="3" t="str">
        <f aca="false">IF($B719="","",IF($C719&gt;=0,"Income","Expense"))</f>
        <v/>
      </c>
      <c r="F719" s="3" t="str">
        <f aca="false">IF($B719="","",IFERROR(LOOKUP(2^15,SEARCH(Rules!$A$2:$A$200&amp;"",$B719)/(Rules!$A$2:$A$200&lt;&gt;""),Rules!$A$2:$A$200),""))</f>
        <v/>
      </c>
      <c r="G719" s="3" t="str">
        <f aca="false">IF($B719="","",IF(D719="Uncategorized","⚠ Review",IF(IFERROR(LOOKUP(2^15,SEARCH(Rules!$A$2:$A$200&amp;"",$B719)/(Rules!$A$2:$A$200&lt;&gt;""),Rules!$C$2:$C$200),"")&lt;&gt;E719,"⚠ Check sign","OK")))</f>
        <v/>
      </c>
    </row>
    <row r="720" customFormat="false" ht="15" hidden="false" customHeight="false" outlineLevel="0" collapsed="false">
      <c r="A720" s="3"/>
      <c r="B720" s="3"/>
      <c r="C720" s="3"/>
      <c r="D720" s="3" t="str">
        <f aca="false">IF($B720="","",IFERROR(LOOKUP(2^15,SEARCH(Rules!$A$2:$A$200&amp;"",$B720)/(Rules!$A$2:$A$200&lt;&gt;""),Rules!$B$2:$B$200),"Uncategorized"))</f>
        <v/>
      </c>
      <c r="E720" s="3" t="str">
        <f aca="false">IF($B720="","",IF($C720&gt;=0,"Income","Expense"))</f>
        <v/>
      </c>
      <c r="F720" s="3" t="str">
        <f aca="false">IF($B720="","",IFERROR(LOOKUP(2^15,SEARCH(Rules!$A$2:$A$200&amp;"",$B720)/(Rules!$A$2:$A$200&lt;&gt;""),Rules!$A$2:$A$200),""))</f>
        <v/>
      </c>
      <c r="G720" s="3" t="str">
        <f aca="false">IF($B720="","",IF(D720="Uncategorized","⚠ Review",IF(IFERROR(LOOKUP(2^15,SEARCH(Rules!$A$2:$A$200&amp;"",$B720)/(Rules!$A$2:$A$200&lt;&gt;""),Rules!$C$2:$C$200),"")&lt;&gt;E720,"⚠ Check sign","OK")))</f>
        <v/>
      </c>
    </row>
    <row r="721" customFormat="false" ht="15" hidden="false" customHeight="false" outlineLevel="0" collapsed="false">
      <c r="A721" s="3"/>
      <c r="B721" s="3"/>
      <c r="C721" s="3"/>
      <c r="D721" s="3" t="str">
        <f aca="false">IF($B721="","",IFERROR(LOOKUP(2^15,SEARCH(Rules!$A$2:$A$200&amp;"",$B721)/(Rules!$A$2:$A$200&lt;&gt;""),Rules!$B$2:$B$200),"Uncategorized"))</f>
        <v/>
      </c>
      <c r="E721" s="3" t="str">
        <f aca="false">IF($B721="","",IF($C721&gt;=0,"Income","Expense"))</f>
        <v/>
      </c>
      <c r="F721" s="3" t="str">
        <f aca="false">IF($B721="","",IFERROR(LOOKUP(2^15,SEARCH(Rules!$A$2:$A$200&amp;"",$B721)/(Rules!$A$2:$A$200&lt;&gt;""),Rules!$A$2:$A$200),""))</f>
        <v/>
      </c>
      <c r="G721" s="3" t="str">
        <f aca="false">IF($B721="","",IF(D721="Uncategorized","⚠ Review",IF(IFERROR(LOOKUP(2^15,SEARCH(Rules!$A$2:$A$200&amp;"",$B721)/(Rules!$A$2:$A$200&lt;&gt;""),Rules!$C$2:$C$200),"")&lt;&gt;E721,"⚠ Check sign","OK")))</f>
        <v/>
      </c>
    </row>
    <row r="722" customFormat="false" ht="15" hidden="false" customHeight="false" outlineLevel="0" collapsed="false">
      <c r="A722" s="3"/>
      <c r="B722" s="3"/>
      <c r="C722" s="3"/>
      <c r="D722" s="3" t="str">
        <f aca="false">IF($B722="","",IFERROR(LOOKUP(2^15,SEARCH(Rules!$A$2:$A$200&amp;"",$B722)/(Rules!$A$2:$A$200&lt;&gt;""),Rules!$B$2:$B$200),"Uncategorized"))</f>
        <v/>
      </c>
      <c r="E722" s="3" t="str">
        <f aca="false">IF($B722="","",IF($C722&gt;=0,"Income","Expense"))</f>
        <v/>
      </c>
      <c r="F722" s="3" t="str">
        <f aca="false">IF($B722="","",IFERROR(LOOKUP(2^15,SEARCH(Rules!$A$2:$A$200&amp;"",$B722)/(Rules!$A$2:$A$200&lt;&gt;""),Rules!$A$2:$A$200),""))</f>
        <v/>
      </c>
      <c r="G722" s="3" t="str">
        <f aca="false">IF($B722="","",IF(D722="Uncategorized","⚠ Review",IF(IFERROR(LOOKUP(2^15,SEARCH(Rules!$A$2:$A$200&amp;"",$B722)/(Rules!$A$2:$A$200&lt;&gt;""),Rules!$C$2:$C$200),"")&lt;&gt;E722,"⚠ Check sign","OK")))</f>
        <v/>
      </c>
    </row>
    <row r="723" customFormat="false" ht="15" hidden="false" customHeight="false" outlineLevel="0" collapsed="false">
      <c r="A723" s="3"/>
      <c r="B723" s="3"/>
      <c r="C723" s="3"/>
      <c r="D723" s="3" t="str">
        <f aca="false">IF($B723="","",IFERROR(LOOKUP(2^15,SEARCH(Rules!$A$2:$A$200&amp;"",$B723)/(Rules!$A$2:$A$200&lt;&gt;""),Rules!$B$2:$B$200),"Uncategorized"))</f>
        <v/>
      </c>
      <c r="E723" s="3" t="str">
        <f aca="false">IF($B723="","",IF($C723&gt;=0,"Income","Expense"))</f>
        <v/>
      </c>
      <c r="F723" s="3" t="str">
        <f aca="false">IF($B723="","",IFERROR(LOOKUP(2^15,SEARCH(Rules!$A$2:$A$200&amp;"",$B723)/(Rules!$A$2:$A$200&lt;&gt;""),Rules!$A$2:$A$200),""))</f>
        <v/>
      </c>
      <c r="G723" s="3" t="str">
        <f aca="false">IF($B723="","",IF(D723="Uncategorized","⚠ Review",IF(IFERROR(LOOKUP(2^15,SEARCH(Rules!$A$2:$A$200&amp;"",$B723)/(Rules!$A$2:$A$200&lt;&gt;""),Rules!$C$2:$C$200),"")&lt;&gt;E723,"⚠ Check sign","OK")))</f>
        <v/>
      </c>
    </row>
    <row r="724" customFormat="false" ht="15" hidden="false" customHeight="false" outlineLevel="0" collapsed="false">
      <c r="A724" s="3"/>
      <c r="B724" s="3"/>
      <c r="C724" s="3"/>
      <c r="D724" s="3" t="str">
        <f aca="false">IF($B724="","",IFERROR(LOOKUP(2^15,SEARCH(Rules!$A$2:$A$200&amp;"",$B724)/(Rules!$A$2:$A$200&lt;&gt;""),Rules!$B$2:$B$200),"Uncategorized"))</f>
        <v/>
      </c>
      <c r="E724" s="3" t="str">
        <f aca="false">IF($B724="","",IF($C724&gt;=0,"Income","Expense"))</f>
        <v/>
      </c>
      <c r="F724" s="3" t="str">
        <f aca="false">IF($B724="","",IFERROR(LOOKUP(2^15,SEARCH(Rules!$A$2:$A$200&amp;"",$B724)/(Rules!$A$2:$A$200&lt;&gt;""),Rules!$A$2:$A$200),""))</f>
        <v/>
      </c>
      <c r="G724" s="3" t="str">
        <f aca="false">IF($B724="","",IF(D724="Uncategorized","⚠ Review",IF(IFERROR(LOOKUP(2^15,SEARCH(Rules!$A$2:$A$200&amp;"",$B724)/(Rules!$A$2:$A$200&lt;&gt;""),Rules!$C$2:$C$200),"")&lt;&gt;E724,"⚠ Check sign","OK")))</f>
        <v/>
      </c>
    </row>
    <row r="725" customFormat="false" ht="15" hidden="false" customHeight="false" outlineLevel="0" collapsed="false">
      <c r="A725" s="3"/>
      <c r="B725" s="3"/>
      <c r="C725" s="3"/>
      <c r="D725" s="3" t="str">
        <f aca="false">IF($B725="","",IFERROR(LOOKUP(2^15,SEARCH(Rules!$A$2:$A$200&amp;"",$B725)/(Rules!$A$2:$A$200&lt;&gt;""),Rules!$B$2:$B$200),"Uncategorized"))</f>
        <v/>
      </c>
      <c r="E725" s="3" t="str">
        <f aca="false">IF($B725="","",IF($C725&gt;=0,"Income","Expense"))</f>
        <v/>
      </c>
      <c r="F725" s="3" t="str">
        <f aca="false">IF($B725="","",IFERROR(LOOKUP(2^15,SEARCH(Rules!$A$2:$A$200&amp;"",$B725)/(Rules!$A$2:$A$200&lt;&gt;""),Rules!$A$2:$A$200),""))</f>
        <v/>
      </c>
      <c r="G725" s="3" t="str">
        <f aca="false">IF($B725="","",IF(D725="Uncategorized","⚠ Review",IF(IFERROR(LOOKUP(2^15,SEARCH(Rules!$A$2:$A$200&amp;"",$B725)/(Rules!$A$2:$A$200&lt;&gt;""),Rules!$C$2:$C$200),"")&lt;&gt;E725,"⚠ Check sign","OK")))</f>
        <v/>
      </c>
    </row>
    <row r="726" customFormat="false" ht="15" hidden="false" customHeight="false" outlineLevel="0" collapsed="false">
      <c r="A726" s="3"/>
      <c r="B726" s="3"/>
      <c r="C726" s="3"/>
      <c r="D726" s="3" t="str">
        <f aca="false">IF($B726="","",IFERROR(LOOKUP(2^15,SEARCH(Rules!$A$2:$A$200&amp;"",$B726)/(Rules!$A$2:$A$200&lt;&gt;""),Rules!$B$2:$B$200),"Uncategorized"))</f>
        <v/>
      </c>
      <c r="E726" s="3" t="str">
        <f aca="false">IF($B726="","",IF($C726&gt;=0,"Income","Expense"))</f>
        <v/>
      </c>
      <c r="F726" s="3" t="str">
        <f aca="false">IF($B726="","",IFERROR(LOOKUP(2^15,SEARCH(Rules!$A$2:$A$200&amp;"",$B726)/(Rules!$A$2:$A$200&lt;&gt;""),Rules!$A$2:$A$200),""))</f>
        <v/>
      </c>
      <c r="G726" s="3" t="str">
        <f aca="false">IF($B726="","",IF(D726="Uncategorized","⚠ Review",IF(IFERROR(LOOKUP(2^15,SEARCH(Rules!$A$2:$A$200&amp;"",$B726)/(Rules!$A$2:$A$200&lt;&gt;""),Rules!$C$2:$C$200),"")&lt;&gt;E726,"⚠ Check sign","OK")))</f>
        <v/>
      </c>
    </row>
    <row r="727" customFormat="false" ht="15" hidden="false" customHeight="false" outlineLevel="0" collapsed="false">
      <c r="A727" s="3"/>
      <c r="B727" s="3"/>
      <c r="C727" s="3"/>
      <c r="D727" s="3" t="str">
        <f aca="false">IF($B727="","",IFERROR(LOOKUP(2^15,SEARCH(Rules!$A$2:$A$200&amp;"",$B727)/(Rules!$A$2:$A$200&lt;&gt;""),Rules!$B$2:$B$200),"Uncategorized"))</f>
        <v/>
      </c>
      <c r="E727" s="3" t="str">
        <f aca="false">IF($B727="","",IF($C727&gt;=0,"Income","Expense"))</f>
        <v/>
      </c>
      <c r="F727" s="3" t="str">
        <f aca="false">IF($B727="","",IFERROR(LOOKUP(2^15,SEARCH(Rules!$A$2:$A$200&amp;"",$B727)/(Rules!$A$2:$A$200&lt;&gt;""),Rules!$A$2:$A$200),""))</f>
        <v/>
      </c>
      <c r="G727" s="3" t="str">
        <f aca="false">IF($B727="","",IF(D727="Uncategorized","⚠ Review",IF(IFERROR(LOOKUP(2^15,SEARCH(Rules!$A$2:$A$200&amp;"",$B727)/(Rules!$A$2:$A$200&lt;&gt;""),Rules!$C$2:$C$200),"")&lt;&gt;E727,"⚠ Check sign","OK")))</f>
        <v/>
      </c>
    </row>
    <row r="728" customFormat="false" ht="15" hidden="false" customHeight="false" outlineLevel="0" collapsed="false">
      <c r="A728" s="3"/>
      <c r="B728" s="3"/>
      <c r="C728" s="3"/>
      <c r="D728" s="3" t="str">
        <f aca="false">IF($B728="","",IFERROR(LOOKUP(2^15,SEARCH(Rules!$A$2:$A$200&amp;"",$B728)/(Rules!$A$2:$A$200&lt;&gt;""),Rules!$B$2:$B$200),"Uncategorized"))</f>
        <v/>
      </c>
      <c r="E728" s="3" t="str">
        <f aca="false">IF($B728="","",IF($C728&gt;=0,"Income","Expense"))</f>
        <v/>
      </c>
      <c r="F728" s="3" t="str">
        <f aca="false">IF($B728="","",IFERROR(LOOKUP(2^15,SEARCH(Rules!$A$2:$A$200&amp;"",$B728)/(Rules!$A$2:$A$200&lt;&gt;""),Rules!$A$2:$A$200),""))</f>
        <v/>
      </c>
      <c r="G728" s="3" t="str">
        <f aca="false">IF($B728="","",IF(D728="Uncategorized","⚠ Review",IF(IFERROR(LOOKUP(2^15,SEARCH(Rules!$A$2:$A$200&amp;"",$B728)/(Rules!$A$2:$A$200&lt;&gt;""),Rules!$C$2:$C$200),"")&lt;&gt;E728,"⚠ Check sign","OK")))</f>
        <v/>
      </c>
    </row>
    <row r="729" customFormat="false" ht="15" hidden="false" customHeight="false" outlineLevel="0" collapsed="false">
      <c r="A729" s="3"/>
      <c r="B729" s="3"/>
      <c r="C729" s="3"/>
      <c r="D729" s="3" t="str">
        <f aca="false">IF($B729="","",IFERROR(LOOKUP(2^15,SEARCH(Rules!$A$2:$A$200&amp;"",$B729)/(Rules!$A$2:$A$200&lt;&gt;""),Rules!$B$2:$B$200),"Uncategorized"))</f>
        <v/>
      </c>
      <c r="E729" s="3" t="str">
        <f aca="false">IF($B729="","",IF($C729&gt;=0,"Income","Expense"))</f>
        <v/>
      </c>
      <c r="F729" s="3" t="str">
        <f aca="false">IF($B729="","",IFERROR(LOOKUP(2^15,SEARCH(Rules!$A$2:$A$200&amp;"",$B729)/(Rules!$A$2:$A$200&lt;&gt;""),Rules!$A$2:$A$200),""))</f>
        <v/>
      </c>
      <c r="G729" s="3" t="str">
        <f aca="false">IF($B729="","",IF(D729="Uncategorized","⚠ Review",IF(IFERROR(LOOKUP(2^15,SEARCH(Rules!$A$2:$A$200&amp;"",$B729)/(Rules!$A$2:$A$200&lt;&gt;""),Rules!$C$2:$C$200),"")&lt;&gt;E729,"⚠ Check sign","OK")))</f>
        <v/>
      </c>
    </row>
    <row r="730" customFormat="false" ht="15" hidden="false" customHeight="false" outlineLevel="0" collapsed="false">
      <c r="A730" s="3"/>
      <c r="B730" s="3"/>
      <c r="C730" s="3"/>
      <c r="D730" s="3" t="str">
        <f aca="false">IF($B730="","",IFERROR(LOOKUP(2^15,SEARCH(Rules!$A$2:$A$200&amp;"",$B730)/(Rules!$A$2:$A$200&lt;&gt;""),Rules!$B$2:$B$200),"Uncategorized"))</f>
        <v/>
      </c>
      <c r="E730" s="3" t="str">
        <f aca="false">IF($B730="","",IF($C730&gt;=0,"Income","Expense"))</f>
        <v/>
      </c>
      <c r="F730" s="3" t="str">
        <f aca="false">IF($B730="","",IFERROR(LOOKUP(2^15,SEARCH(Rules!$A$2:$A$200&amp;"",$B730)/(Rules!$A$2:$A$200&lt;&gt;""),Rules!$A$2:$A$200),""))</f>
        <v/>
      </c>
      <c r="G730" s="3" t="str">
        <f aca="false">IF($B730="","",IF(D730="Uncategorized","⚠ Review",IF(IFERROR(LOOKUP(2^15,SEARCH(Rules!$A$2:$A$200&amp;"",$B730)/(Rules!$A$2:$A$200&lt;&gt;""),Rules!$C$2:$C$200),"")&lt;&gt;E730,"⚠ Check sign","OK")))</f>
        <v/>
      </c>
    </row>
    <row r="731" customFormat="false" ht="15" hidden="false" customHeight="false" outlineLevel="0" collapsed="false">
      <c r="A731" s="3"/>
      <c r="B731" s="3"/>
      <c r="C731" s="3"/>
      <c r="D731" s="3" t="str">
        <f aca="false">IF($B731="","",IFERROR(LOOKUP(2^15,SEARCH(Rules!$A$2:$A$200&amp;"",$B731)/(Rules!$A$2:$A$200&lt;&gt;""),Rules!$B$2:$B$200),"Uncategorized"))</f>
        <v/>
      </c>
      <c r="E731" s="3" t="str">
        <f aca="false">IF($B731="","",IF($C731&gt;=0,"Income","Expense"))</f>
        <v/>
      </c>
      <c r="F731" s="3" t="str">
        <f aca="false">IF($B731="","",IFERROR(LOOKUP(2^15,SEARCH(Rules!$A$2:$A$200&amp;"",$B731)/(Rules!$A$2:$A$200&lt;&gt;""),Rules!$A$2:$A$200),""))</f>
        <v/>
      </c>
      <c r="G731" s="3" t="str">
        <f aca="false">IF($B731="","",IF(D731="Uncategorized","⚠ Review",IF(IFERROR(LOOKUP(2^15,SEARCH(Rules!$A$2:$A$200&amp;"",$B731)/(Rules!$A$2:$A$200&lt;&gt;""),Rules!$C$2:$C$200),"")&lt;&gt;E731,"⚠ Check sign","OK")))</f>
        <v/>
      </c>
    </row>
    <row r="732" customFormat="false" ht="15" hidden="false" customHeight="false" outlineLevel="0" collapsed="false">
      <c r="A732" s="3"/>
      <c r="B732" s="3"/>
      <c r="C732" s="3"/>
      <c r="D732" s="3" t="str">
        <f aca="false">IF($B732="","",IFERROR(LOOKUP(2^15,SEARCH(Rules!$A$2:$A$200&amp;"",$B732)/(Rules!$A$2:$A$200&lt;&gt;""),Rules!$B$2:$B$200),"Uncategorized"))</f>
        <v/>
      </c>
      <c r="E732" s="3" t="str">
        <f aca="false">IF($B732="","",IF($C732&gt;=0,"Income","Expense"))</f>
        <v/>
      </c>
      <c r="F732" s="3" t="str">
        <f aca="false">IF($B732="","",IFERROR(LOOKUP(2^15,SEARCH(Rules!$A$2:$A$200&amp;"",$B732)/(Rules!$A$2:$A$200&lt;&gt;""),Rules!$A$2:$A$200),""))</f>
        <v/>
      </c>
      <c r="G732" s="3" t="str">
        <f aca="false">IF($B732="","",IF(D732="Uncategorized","⚠ Review",IF(IFERROR(LOOKUP(2^15,SEARCH(Rules!$A$2:$A$200&amp;"",$B732)/(Rules!$A$2:$A$200&lt;&gt;""),Rules!$C$2:$C$200),"")&lt;&gt;E732,"⚠ Check sign","OK")))</f>
        <v/>
      </c>
    </row>
    <row r="733" customFormat="false" ht="15" hidden="false" customHeight="false" outlineLevel="0" collapsed="false">
      <c r="A733" s="3"/>
      <c r="B733" s="3"/>
      <c r="C733" s="3"/>
      <c r="D733" s="3" t="str">
        <f aca="false">IF($B733="","",IFERROR(LOOKUP(2^15,SEARCH(Rules!$A$2:$A$200&amp;"",$B733)/(Rules!$A$2:$A$200&lt;&gt;""),Rules!$B$2:$B$200),"Uncategorized"))</f>
        <v/>
      </c>
      <c r="E733" s="3" t="str">
        <f aca="false">IF($B733="","",IF($C733&gt;=0,"Income","Expense"))</f>
        <v/>
      </c>
      <c r="F733" s="3" t="str">
        <f aca="false">IF($B733="","",IFERROR(LOOKUP(2^15,SEARCH(Rules!$A$2:$A$200&amp;"",$B733)/(Rules!$A$2:$A$200&lt;&gt;""),Rules!$A$2:$A$200),""))</f>
        <v/>
      </c>
      <c r="G733" s="3" t="str">
        <f aca="false">IF($B733="","",IF(D733="Uncategorized","⚠ Review",IF(IFERROR(LOOKUP(2^15,SEARCH(Rules!$A$2:$A$200&amp;"",$B733)/(Rules!$A$2:$A$200&lt;&gt;""),Rules!$C$2:$C$200),"")&lt;&gt;E733,"⚠ Check sign","OK")))</f>
        <v/>
      </c>
    </row>
    <row r="734" customFormat="false" ht="15" hidden="false" customHeight="false" outlineLevel="0" collapsed="false">
      <c r="A734" s="3"/>
      <c r="B734" s="3"/>
      <c r="C734" s="3"/>
      <c r="D734" s="3" t="str">
        <f aca="false">IF($B734="","",IFERROR(LOOKUP(2^15,SEARCH(Rules!$A$2:$A$200&amp;"",$B734)/(Rules!$A$2:$A$200&lt;&gt;""),Rules!$B$2:$B$200),"Uncategorized"))</f>
        <v/>
      </c>
      <c r="E734" s="3" t="str">
        <f aca="false">IF($B734="","",IF($C734&gt;=0,"Income","Expense"))</f>
        <v/>
      </c>
      <c r="F734" s="3" t="str">
        <f aca="false">IF($B734="","",IFERROR(LOOKUP(2^15,SEARCH(Rules!$A$2:$A$200&amp;"",$B734)/(Rules!$A$2:$A$200&lt;&gt;""),Rules!$A$2:$A$200),""))</f>
        <v/>
      </c>
      <c r="G734" s="3" t="str">
        <f aca="false">IF($B734="","",IF(D734="Uncategorized","⚠ Review",IF(IFERROR(LOOKUP(2^15,SEARCH(Rules!$A$2:$A$200&amp;"",$B734)/(Rules!$A$2:$A$200&lt;&gt;""),Rules!$C$2:$C$200),"")&lt;&gt;E734,"⚠ Check sign","OK")))</f>
        <v/>
      </c>
    </row>
    <row r="735" customFormat="false" ht="15" hidden="false" customHeight="false" outlineLevel="0" collapsed="false">
      <c r="A735" s="3"/>
      <c r="B735" s="3"/>
      <c r="C735" s="3"/>
      <c r="D735" s="3" t="str">
        <f aca="false">IF($B735="","",IFERROR(LOOKUP(2^15,SEARCH(Rules!$A$2:$A$200&amp;"",$B735)/(Rules!$A$2:$A$200&lt;&gt;""),Rules!$B$2:$B$200),"Uncategorized"))</f>
        <v/>
      </c>
      <c r="E735" s="3" t="str">
        <f aca="false">IF($B735="","",IF($C735&gt;=0,"Income","Expense"))</f>
        <v/>
      </c>
      <c r="F735" s="3" t="str">
        <f aca="false">IF($B735="","",IFERROR(LOOKUP(2^15,SEARCH(Rules!$A$2:$A$200&amp;"",$B735)/(Rules!$A$2:$A$200&lt;&gt;""),Rules!$A$2:$A$200),""))</f>
        <v/>
      </c>
      <c r="G735" s="3" t="str">
        <f aca="false">IF($B735="","",IF(D735="Uncategorized","⚠ Review",IF(IFERROR(LOOKUP(2^15,SEARCH(Rules!$A$2:$A$200&amp;"",$B735)/(Rules!$A$2:$A$200&lt;&gt;""),Rules!$C$2:$C$200),"")&lt;&gt;E735,"⚠ Check sign","OK")))</f>
        <v/>
      </c>
    </row>
    <row r="736" customFormat="false" ht="15" hidden="false" customHeight="false" outlineLevel="0" collapsed="false">
      <c r="A736" s="3"/>
      <c r="B736" s="3"/>
      <c r="C736" s="3"/>
      <c r="D736" s="3" t="str">
        <f aca="false">IF($B736="","",IFERROR(LOOKUP(2^15,SEARCH(Rules!$A$2:$A$200&amp;"",$B736)/(Rules!$A$2:$A$200&lt;&gt;""),Rules!$B$2:$B$200),"Uncategorized"))</f>
        <v/>
      </c>
      <c r="E736" s="3" t="str">
        <f aca="false">IF($B736="","",IF($C736&gt;=0,"Income","Expense"))</f>
        <v/>
      </c>
      <c r="F736" s="3" t="str">
        <f aca="false">IF($B736="","",IFERROR(LOOKUP(2^15,SEARCH(Rules!$A$2:$A$200&amp;"",$B736)/(Rules!$A$2:$A$200&lt;&gt;""),Rules!$A$2:$A$200),""))</f>
        <v/>
      </c>
      <c r="G736" s="3" t="str">
        <f aca="false">IF($B736="","",IF(D736="Uncategorized","⚠ Review",IF(IFERROR(LOOKUP(2^15,SEARCH(Rules!$A$2:$A$200&amp;"",$B736)/(Rules!$A$2:$A$200&lt;&gt;""),Rules!$C$2:$C$200),"")&lt;&gt;E736,"⚠ Check sign","OK")))</f>
        <v/>
      </c>
    </row>
    <row r="737" customFormat="false" ht="15" hidden="false" customHeight="false" outlineLevel="0" collapsed="false">
      <c r="A737" s="3"/>
      <c r="B737" s="3"/>
      <c r="C737" s="3"/>
      <c r="D737" s="3" t="str">
        <f aca="false">IF($B737="","",IFERROR(LOOKUP(2^15,SEARCH(Rules!$A$2:$A$200&amp;"",$B737)/(Rules!$A$2:$A$200&lt;&gt;""),Rules!$B$2:$B$200),"Uncategorized"))</f>
        <v/>
      </c>
      <c r="E737" s="3" t="str">
        <f aca="false">IF($B737="","",IF($C737&gt;=0,"Income","Expense"))</f>
        <v/>
      </c>
      <c r="F737" s="3" t="str">
        <f aca="false">IF($B737="","",IFERROR(LOOKUP(2^15,SEARCH(Rules!$A$2:$A$200&amp;"",$B737)/(Rules!$A$2:$A$200&lt;&gt;""),Rules!$A$2:$A$200),""))</f>
        <v/>
      </c>
      <c r="G737" s="3" t="str">
        <f aca="false">IF($B737="","",IF(D737="Uncategorized","⚠ Review",IF(IFERROR(LOOKUP(2^15,SEARCH(Rules!$A$2:$A$200&amp;"",$B737)/(Rules!$A$2:$A$200&lt;&gt;""),Rules!$C$2:$C$200),"")&lt;&gt;E737,"⚠ Check sign","OK")))</f>
        <v/>
      </c>
    </row>
    <row r="738" customFormat="false" ht="15" hidden="false" customHeight="false" outlineLevel="0" collapsed="false">
      <c r="A738" s="3"/>
      <c r="B738" s="3"/>
      <c r="C738" s="3"/>
      <c r="D738" s="3" t="str">
        <f aca="false">IF($B738="","",IFERROR(LOOKUP(2^15,SEARCH(Rules!$A$2:$A$200&amp;"",$B738)/(Rules!$A$2:$A$200&lt;&gt;""),Rules!$B$2:$B$200),"Uncategorized"))</f>
        <v/>
      </c>
      <c r="E738" s="3" t="str">
        <f aca="false">IF($B738="","",IF($C738&gt;=0,"Income","Expense"))</f>
        <v/>
      </c>
      <c r="F738" s="3" t="str">
        <f aca="false">IF($B738="","",IFERROR(LOOKUP(2^15,SEARCH(Rules!$A$2:$A$200&amp;"",$B738)/(Rules!$A$2:$A$200&lt;&gt;""),Rules!$A$2:$A$200),""))</f>
        <v/>
      </c>
      <c r="G738" s="3" t="str">
        <f aca="false">IF($B738="","",IF(D738="Uncategorized","⚠ Review",IF(IFERROR(LOOKUP(2^15,SEARCH(Rules!$A$2:$A$200&amp;"",$B738)/(Rules!$A$2:$A$200&lt;&gt;""),Rules!$C$2:$C$200),"")&lt;&gt;E738,"⚠ Check sign","OK")))</f>
        <v/>
      </c>
    </row>
    <row r="739" customFormat="false" ht="15" hidden="false" customHeight="false" outlineLevel="0" collapsed="false">
      <c r="A739" s="3"/>
      <c r="B739" s="3"/>
      <c r="C739" s="3"/>
      <c r="D739" s="3" t="str">
        <f aca="false">IF($B739="","",IFERROR(LOOKUP(2^15,SEARCH(Rules!$A$2:$A$200&amp;"",$B739)/(Rules!$A$2:$A$200&lt;&gt;""),Rules!$B$2:$B$200),"Uncategorized"))</f>
        <v/>
      </c>
      <c r="E739" s="3" t="str">
        <f aca="false">IF($B739="","",IF($C739&gt;=0,"Income","Expense"))</f>
        <v/>
      </c>
      <c r="F739" s="3" t="str">
        <f aca="false">IF($B739="","",IFERROR(LOOKUP(2^15,SEARCH(Rules!$A$2:$A$200&amp;"",$B739)/(Rules!$A$2:$A$200&lt;&gt;""),Rules!$A$2:$A$200),""))</f>
        <v/>
      </c>
      <c r="G739" s="3" t="str">
        <f aca="false">IF($B739="","",IF(D739="Uncategorized","⚠ Review",IF(IFERROR(LOOKUP(2^15,SEARCH(Rules!$A$2:$A$200&amp;"",$B739)/(Rules!$A$2:$A$200&lt;&gt;""),Rules!$C$2:$C$200),"")&lt;&gt;E739,"⚠ Check sign","OK")))</f>
        <v/>
      </c>
    </row>
    <row r="740" customFormat="false" ht="15" hidden="false" customHeight="false" outlineLevel="0" collapsed="false">
      <c r="A740" s="3"/>
      <c r="B740" s="3"/>
      <c r="C740" s="3"/>
      <c r="D740" s="3" t="str">
        <f aca="false">IF($B740="","",IFERROR(LOOKUP(2^15,SEARCH(Rules!$A$2:$A$200&amp;"",$B740)/(Rules!$A$2:$A$200&lt;&gt;""),Rules!$B$2:$B$200),"Uncategorized"))</f>
        <v/>
      </c>
      <c r="E740" s="3" t="str">
        <f aca="false">IF($B740="","",IF($C740&gt;=0,"Income","Expense"))</f>
        <v/>
      </c>
      <c r="F740" s="3" t="str">
        <f aca="false">IF($B740="","",IFERROR(LOOKUP(2^15,SEARCH(Rules!$A$2:$A$200&amp;"",$B740)/(Rules!$A$2:$A$200&lt;&gt;""),Rules!$A$2:$A$200),""))</f>
        <v/>
      </c>
      <c r="G740" s="3" t="str">
        <f aca="false">IF($B740="","",IF(D740="Uncategorized","⚠ Review",IF(IFERROR(LOOKUP(2^15,SEARCH(Rules!$A$2:$A$200&amp;"",$B740)/(Rules!$A$2:$A$200&lt;&gt;""),Rules!$C$2:$C$200),"")&lt;&gt;E740,"⚠ Check sign","OK")))</f>
        <v/>
      </c>
    </row>
    <row r="741" customFormat="false" ht="15" hidden="false" customHeight="false" outlineLevel="0" collapsed="false">
      <c r="A741" s="3"/>
      <c r="B741" s="3"/>
      <c r="C741" s="3"/>
      <c r="D741" s="3" t="str">
        <f aca="false">IF($B741="","",IFERROR(LOOKUP(2^15,SEARCH(Rules!$A$2:$A$200&amp;"",$B741)/(Rules!$A$2:$A$200&lt;&gt;""),Rules!$B$2:$B$200),"Uncategorized"))</f>
        <v/>
      </c>
      <c r="E741" s="3" t="str">
        <f aca="false">IF($B741="","",IF($C741&gt;=0,"Income","Expense"))</f>
        <v/>
      </c>
      <c r="F741" s="3" t="str">
        <f aca="false">IF($B741="","",IFERROR(LOOKUP(2^15,SEARCH(Rules!$A$2:$A$200&amp;"",$B741)/(Rules!$A$2:$A$200&lt;&gt;""),Rules!$A$2:$A$200),""))</f>
        <v/>
      </c>
      <c r="G741" s="3" t="str">
        <f aca="false">IF($B741="","",IF(D741="Uncategorized","⚠ Review",IF(IFERROR(LOOKUP(2^15,SEARCH(Rules!$A$2:$A$200&amp;"",$B741)/(Rules!$A$2:$A$200&lt;&gt;""),Rules!$C$2:$C$200),"")&lt;&gt;E741,"⚠ Check sign","OK")))</f>
        <v/>
      </c>
    </row>
    <row r="742" customFormat="false" ht="15" hidden="false" customHeight="false" outlineLevel="0" collapsed="false">
      <c r="A742" s="3"/>
      <c r="B742" s="3"/>
      <c r="C742" s="3"/>
      <c r="D742" s="3" t="str">
        <f aca="false">IF($B742="","",IFERROR(LOOKUP(2^15,SEARCH(Rules!$A$2:$A$200&amp;"",$B742)/(Rules!$A$2:$A$200&lt;&gt;""),Rules!$B$2:$B$200),"Uncategorized"))</f>
        <v/>
      </c>
      <c r="E742" s="3" t="str">
        <f aca="false">IF($B742="","",IF($C742&gt;=0,"Income","Expense"))</f>
        <v/>
      </c>
      <c r="F742" s="3" t="str">
        <f aca="false">IF($B742="","",IFERROR(LOOKUP(2^15,SEARCH(Rules!$A$2:$A$200&amp;"",$B742)/(Rules!$A$2:$A$200&lt;&gt;""),Rules!$A$2:$A$200),""))</f>
        <v/>
      </c>
      <c r="G742" s="3" t="str">
        <f aca="false">IF($B742="","",IF(D742="Uncategorized","⚠ Review",IF(IFERROR(LOOKUP(2^15,SEARCH(Rules!$A$2:$A$200&amp;"",$B742)/(Rules!$A$2:$A$200&lt;&gt;""),Rules!$C$2:$C$200),"")&lt;&gt;E742,"⚠ Check sign","OK")))</f>
        <v/>
      </c>
    </row>
    <row r="743" customFormat="false" ht="15" hidden="false" customHeight="false" outlineLevel="0" collapsed="false">
      <c r="A743" s="3"/>
      <c r="B743" s="3"/>
      <c r="C743" s="3"/>
      <c r="D743" s="3" t="str">
        <f aca="false">IF($B743="","",IFERROR(LOOKUP(2^15,SEARCH(Rules!$A$2:$A$200&amp;"",$B743)/(Rules!$A$2:$A$200&lt;&gt;""),Rules!$B$2:$B$200),"Uncategorized"))</f>
        <v/>
      </c>
      <c r="E743" s="3" t="str">
        <f aca="false">IF($B743="","",IF($C743&gt;=0,"Income","Expense"))</f>
        <v/>
      </c>
      <c r="F743" s="3" t="str">
        <f aca="false">IF($B743="","",IFERROR(LOOKUP(2^15,SEARCH(Rules!$A$2:$A$200&amp;"",$B743)/(Rules!$A$2:$A$200&lt;&gt;""),Rules!$A$2:$A$200),""))</f>
        <v/>
      </c>
      <c r="G743" s="3" t="str">
        <f aca="false">IF($B743="","",IF(D743="Uncategorized","⚠ Review",IF(IFERROR(LOOKUP(2^15,SEARCH(Rules!$A$2:$A$200&amp;"",$B743)/(Rules!$A$2:$A$200&lt;&gt;""),Rules!$C$2:$C$200),"")&lt;&gt;E743,"⚠ Check sign","OK")))</f>
        <v/>
      </c>
    </row>
    <row r="744" customFormat="false" ht="15" hidden="false" customHeight="false" outlineLevel="0" collapsed="false">
      <c r="A744" s="3"/>
      <c r="B744" s="3"/>
      <c r="C744" s="3"/>
      <c r="D744" s="3" t="str">
        <f aca="false">IF($B744="","",IFERROR(LOOKUP(2^15,SEARCH(Rules!$A$2:$A$200&amp;"",$B744)/(Rules!$A$2:$A$200&lt;&gt;""),Rules!$B$2:$B$200),"Uncategorized"))</f>
        <v/>
      </c>
      <c r="E744" s="3" t="str">
        <f aca="false">IF($B744="","",IF($C744&gt;=0,"Income","Expense"))</f>
        <v/>
      </c>
      <c r="F744" s="3" t="str">
        <f aca="false">IF($B744="","",IFERROR(LOOKUP(2^15,SEARCH(Rules!$A$2:$A$200&amp;"",$B744)/(Rules!$A$2:$A$200&lt;&gt;""),Rules!$A$2:$A$200),""))</f>
        <v/>
      </c>
      <c r="G744" s="3" t="str">
        <f aca="false">IF($B744="","",IF(D744="Uncategorized","⚠ Review",IF(IFERROR(LOOKUP(2^15,SEARCH(Rules!$A$2:$A$200&amp;"",$B744)/(Rules!$A$2:$A$200&lt;&gt;""),Rules!$C$2:$C$200),"")&lt;&gt;E744,"⚠ Check sign","OK")))</f>
        <v/>
      </c>
    </row>
    <row r="745" customFormat="false" ht="15" hidden="false" customHeight="false" outlineLevel="0" collapsed="false">
      <c r="A745" s="3"/>
      <c r="B745" s="3"/>
      <c r="C745" s="3"/>
      <c r="D745" s="3" t="str">
        <f aca="false">IF($B745="","",IFERROR(LOOKUP(2^15,SEARCH(Rules!$A$2:$A$200&amp;"",$B745)/(Rules!$A$2:$A$200&lt;&gt;""),Rules!$B$2:$B$200),"Uncategorized"))</f>
        <v/>
      </c>
      <c r="E745" s="3" t="str">
        <f aca="false">IF($B745="","",IF($C745&gt;=0,"Income","Expense"))</f>
        <v/>
      </c>
      <c r="F745" s="3" t="str">
        <f aca="false">IF($B745="","",IFERROR(LOOKUP(2^15,SEARCH(Rules!$A$2:$A$200&amp;"",$B745)/(Rules!$A$2:$A$200&lt;&gt;""),Rules!$A$2:$A$200),""))</f>
        <v/>
      </c>
      <c r="G745" s="3" t="str">
        <f aca="false">IF($B745="","",IF(D745="Uncategorized","⚠ Review",IF(IFERROR(LOOKUP(2^15,SEARCH(Rules!$A$2:$A$200&amp;"",$B745)/(Rules!$A$2:$A$200&lt;&gt;""),Rules!$C$2:$C$200),"")&lt;&gt;E745,"⚠ Check sign","OK")))</f>
        <v/>
      </c>
    </row>
    <row r="746" customFormat="false" ht="15" hidden="false" customHeight="false" outlineLevel="0" collapsed="false">
      <c r="A746" s="3"/>
      <c r="B746" s="3"/>
      <c r="C746" s="3"/>
      <c r="D746" s="3" t="str">
        <f aca="false">IF($B746="","",IFERROR(LOOKUP(2^15,SEARCH(Rules!$A$2:$A$200&amp;"",$B746)/(Rules!$A$2:$A$200&lt;&gt;""),Rules!$B$2:$B$200),"Uncategorized"))</f>
        <v/>
      </c>
      <c r="E746" s="3" t="str">
        <f aca="false">IF($B746="","",IF($C746&gt;=0,"Income","Expense"))</f>
        <v/>
      </c>
      <c r="F746" s="3" t="str">
        <f aca="false">IF($B746="","",IFERROR(LOOKUP(2^15,SEARCH(Rules!$A$2:$A$200&amp;"",$B746)/(Rules!$A$2:$A$200&lt;&gt;""),Rules!$A$2:$A$200),""))</f>
        <v/>
      </c>
      <c r="G746" s="3" t="str">
        <f aca="false">IF($B746="","",IF(D746="Uncategorized","⚠ Review",IF(IFERROR(LOOKUP(2^15,SEARCH(Rules!$A$2:$A$200&amp;"",$B746)/(Rules!$A$2:$A$200&lt;&gt;""),Rules!$C$2:$C$200),"")&lt;&gt;E746,"⚠ Check sign","OK")))</f>
        <v/>
      </c>
    </row>
    <row r="747" customFormat="false" ht="15" hidden="false" customHeight="false" outlineLevel="0" collapsed="false">
      <c r="A747" s="3"/>
      <c r="B747" s="3"/>
      <c r="C747" s="3"/>
      <c r="D747" s="3" t="str">
        <f aca="false">IF($B747="","",IFERROR(LOOKUP(2^15,SEARCH(Rules!$A$2:$A$200&amp;"",$B747)/(Rules!$A$2:$A$200&lt;&gt;""),Rules!$B$2:$B$200),"Uncategorized"))</f>
        <v/>
      </c>
      <c r="E747" s="3" t="str">
        <f aca="false">IF($B747="","",IF($C747&gt;=0,"Income","Expense"))</f>
        <v/>
      </c>
      <c r="F747" s="3" t="str">
        <f aca="false">IF($B747="","",IFERROR(LOOKUP(2^15,SEARCH(Rules!$A$2:$A$200&amp;"",$B747)/(Rules!$A$2:$A$200&lt;&gt;""),Rules!$A$2:$A$200),""))</f>
        <v/>
      </c>
      <c r="G747" s="3" t="str">
        <f aca="false">IF($B747="","",IF(D747="Uncategorized","⚠ Review",IF(IFERROR(LOOKUP(2^15,SEARCH(Rules!$A$2:$A$200&amp;"",$B747)/(Rules!$A$2:$A$200&lt;&gt;""),Rules!$C$2:$C$200),"")&lt;&gt;E747,"⚠ Check sign","OK")))</f>
        <v/>
      </c>
    </row>
    <row r="748" customFormat="false" ht="15" hidden="false" customHeight="false" outlineLevel="0" collapsed="false">
      <c r="A748" s="3"/>
      <c r="B748" s="3"/>
      <c r="C748" s="3"/>
      <c r="D748" s="3" t="str">
        <f aca="false">IF($B748="","",IFERROR(LOOKUP(2^15,SEARCH(Rules!$A$2:$A$200&amp;"",$B748)/(Rules!$A$2:$A$200&lt;&gt;""),Rules!$B$2:$B$200),"Uncategorized"))</f>
        <v/>
      </c>
      <c r="E748" s="3" t="str">
        <f aca="false">IF($B748="","",IF($C748&gt;=0,"Income","Expense"))</f>
        <v/>
      </c>
      <c r="F748" s="3" t="str">
        <f aca="false">IF($B748="","",IFERROR(LOOKUP(2^15,SEARCH(Rules!$A$2:$A$200&amp;"",$B748)/(Rules!$A$2:$A$200&lt;&gt;""),Rules!$A$2:$A$200),""))</f>
        <v/>
      </c>
      <c r="G748" s="3" t="str">
        <f aca="false">IF($B748="","",IF(D748="Uncategorized","⚠ Review",IF(IFERROR(LOOKUP(2^15,SEARCH(Rules!$A$2:$A$200&amp;"",$B748)/(Rules!$A$2:$A$200&lt;&gt;""),Rules!$C$2:$C$200),"")&lt;&gt;E748,"⚠ Check sign","OK")))</f>
        <v/>
      </c>
    </row>
    <row r="749" customFormat="false" ht="15" hidden="false" customHeight="false" outlineLevel="0" collapsed="false">
      <c r="A749" s="3"/>
      <c r="B749" s="3"/>
      <c r="C749" s="3"/>
      <c r="D749" s="3" t="str">
        <f aca="false">IF($B749="","",IFERROR(LOOKUP(2^15,SEARCH(Rules!$A$2:$A$200&amp;"",$B749)/(Rules!$A$2:$A$200&lt;&gt;""),Rules!$B$2:$B$200),"Uncategorized"))</f>
        <v/>
      </c>
      <c r="E749" s="3" t="str">
        <f aca="false">IF($B749="","",IF($C749&gt;=0,"Income","Expense"))</f>
        <v/>
      </c>
      <c r="F749" s="3" t="str">
        <f aca="false">IF($B749="","",IFERROR(LOOKUP(2^15,SEARCH(Rules!$A$2:$A$200&amp;"",$B749)/(Rules!$A$2:$A$200&lt;&gt;""),Rules!$A$2:$A$200),""))</f>
        <v/>
      </c>
      <c r="G749" s="3" t="str">
        <f aca="false">IF($B749="","",IF(D749="Uncategorized","⚠ Review",IF(IFERROR(LOOKUP(2^15,SEARCH(Rules!$A$2:$A$200&amp;"",$B749)/(Rules!$A$2:$A$200&lt;&gt;""),Rules!$C$2:$C$200),"")&lt;&gt;E749,"⚠ Check sign","OK")))</f>
        <v/>
      </c>
    </row>
    <row r="750" customFormat="false" ht="15" hidden="false" customHeight="false" outlineLevel="0" collapsed="false">
      <c r="A750" s="3"/>
      <c r="B750" s="3"/>
      <c r="C750" s="3"/>
      <c r="D750" s="3" t="str">
        <f aca="false">IF($B750="","",IFERROR(LOOKUP(2^15,SEARCH(Rules!$A$2:$A$200&amp;"",$B750)/(Rules!$A$2:$A$200&lt;&gt;""),Rules!$B$2:$B$200),"Uncategorized"))</f>
        <v/>
      </c>
      <c r="E750" s="3" t="str">
        <f aca="false">IF($B750="","",IF($C750&gt;=0,"Income","Expense"))</f>
        <v/>
      </c>
      <c r="F750" s="3" t="str">
        <f aca="false">IF($B750="","",IFERROR(LOOKUP(2^15,SEARCH(Rules!$A$2:$A$200&amp;"",$B750)/(Rules!$A$2:$A$200&lt;&gt;""),Rules!$A$2:$A$200),""))</f>
        <v/>
      </c>
      <c r="G750" s="3" t="str">
        <f aca="false">IF($B750="","",IF(D750="Uncategorized","⚠ Review",IF(IFERROR(LOOKUP(2^15,SEARCH(Rules!$A$2:$A$200&amp;"",$B750)/(Rules!$A$2:$A$200&lt;&gt;""),Rules!$C$2:$C$200),"")&lt;&gt;E750,"⚠ Check sign","OK")))</f>
        <v/>
      </c>
    </row>
    <row r="751" customFormat="false" ht="15" hidden="false" customHeight="false" outlineLevel="0" collapsed="false">
      <c r="A751" s="3"/>
      <c r="B751" s="3"/>
      <c r="C751" s="3"/>
      <c r="D751" s="3" t="str">
        <f aca="false">IF($B751="","",IFERROR(LOOKUP(2^15,SEARCH(Rules!$A$2:$A$200&amp;"",$B751)/(Rules!$A$2:$A$200&lt;&gt;""),Rules!$B$2:$B$200),"Uncategorized"))</f>
        <v/>
      </c>
      <c r="E751" s="3" t="str">
        <f aca="false">IF($B751="","",IF($C751&gt;=0,"Income","Expense"))</f>
        <v/>
      </c>
      <c r="F751" s="3" t="str">
        <f aca="false">IF($B751="","",IFERROR(LOOKUP(2^15,SEARCH(Rules!$A$2:$A$200&amp;"",$B751)/(Rules!$A$2:$A$200&lt;&gt;""),Rules!$A$2:$A$200),""))</f>
        <v/>
      </c>
      <c r="G751" s="3" t="str">
        <f aca="false">IF($B751="","",IF(D751="Uncategorized","⚠ Review",IF(IFERROR(LOOKUP(2^15,SEARCH(Rules!$A$2:$A$200&amp;"",$B751)/(Rules!$A$2:$A$200&lt;&gt;""),Rules!$C$2:$C$200),"")&lt;&gt;E751,"⚠ Check sign","OK")))</f>
        <v/>
      </c>
    </row>
    <row r="752" customFormat="false" ht="15" hidden="false" customHeight="false" outlineLevel="0" collapsed="false">
      <c r="A752" s="3"/>
      <c r="B752" s="3"/>
      <c r="C752" s="3"/>
      <c r="D752" s="3" t="str">
        <f aca="false">IF($B752="","",IFERROR(LOOKUP(2^15,SEARCH(Rules!$A$2:$A$200&amp;"",$B752)/(Rules!$A$2:$A$200&lt;&gt;""),Rules!$B$2:$B$200),"Uncategorized"))</f>
        <v/>
      </c>
      <c r="E752" s="3" t="str">
        <f aca="false">IF($B752="","",IF($C752&gt;=0,"Income","Expense"))</f>
        <v/>
      </c>
      <c r="F752" s="3" t="str">
        <f aca="false">IF($B752="","",IFERROR(LOOKUP(2^15,SEARCH(Rules!$A$2:$A$200&amp;"",$B752)/(Rules!$A$2:$A$200&lt;&gt;""),Rules!$A$2:$A$200),""))</f>
        <v/>
      </c>
      <c r="G752" s="3" t="str">
        <f aca="false">IF($B752="","",IF(D752="Uncategorized","⚠ Review",IF(IFERROR(LOOKUP(2^15,SEARCH(Rules!$A$2:$A$200&amp;"",$B752)/(Rules!$A$2:$A$200&lt;&gt;""),Rules!$C$2:$C$200),"")&lt;&gt;E752,"⚠ Check sign","OK")))</f>
        <v/>
      </c>
    </row>
    <row r="753" customFormat="false" ht="15" hidden="false" customHeight="false" outlineLevel="0" collapsed="false">
      <c r="A753" s="3"/>
      <c r="B753" s="3"/>
      <c r="C753" s="3"/>
      <c r="D753" s="3" t="str">
        <f aca="false">IF($B753="","",IFERROR(LOOKUP(2^15,SEARCH(Rules!$A$2:$A$200&amp;"",$B753)/(Rules!$A$2:$A$200&lt;&gt;""),Rules!$B$2:$B$200),"Uncategorized"))</f>
        <v/>
      </c>
      <c r="E753" s="3" t="str">
        <f aca="false">IF($B753="","",IF($C753&gt;=0,"Income","Expense"))</f>
        <v/>
      </c>
      <c r="F753" s="3" t="str">
        <f aca="false">IF($B753="","",IFERROR(LOOKUP(2^15,SEARCH(Rules!$A$2:$A$200&amp;"",$B753)/(Rules!$A$2:$A$200&lt;&gt;""),Rules!$A$2:$A$200),""))</f>
        <v/>
      </c>
      <c r="G753" s="3" t="str">
        <f aca="false">IF($B753="","",IF(D753="Uncategorized","⚠ Review",IF(IFERROR(LOOKUP(2^15,SEARCH(Rules!$A$2:$A$200&amp;"",$B753)/(Rules!$A$2:$A$200&lt;&gt;""),Rules!$C$2:$C$200),"")&lt;&gt;E753,"⚠ Check sign","OK")))</f>
        <v/>
      </c>
    </row>
    <row r="754" customFormat="false" ht="15" hidden="false" customHeight="false" outlineLevel="0" collapsed="false">
      <c r="A754" s="3"/>
      <c r="B754" s="3"/>
      <c r="C754" s="3"/>
      <c r="D754" s="3" t="str">
        <f aca="false">IF($B754="","",IFERROR(LOOKUP(2^15,SEARCH(Rules!$A$2:$A$200&amp;"",$B754)/(Rules!$A$2:$A$200&lt;&gt;""),Rules!$B$2:$B$200),"Uncategorized"))</f>
        <v/>
      </c>
      <c r="E754" s="3" t="str">
        <f aca="false">IF($B754="","",IF($C754&gt;=0,"Income","Expense"))</f>
        <v/>
      </c>
      <c r="F754" s="3" t="str">
        <f aca="false">IF($B754="","",IFERROR(LOOKUP(2^15,SEARCH(Rules!$A$2:$A$200&amp;"",$B754)/(Rules!$A$2:$A$200&lt;&gt;""),Rules!$A$2:$A$200),""))</f>
        <v/>
      </c>
      <c r="G754" s="3" t="str">
        <f aca="false">IF($B754="","",IF(D754="Uncategorized","⚠ Review",IF(IFERROR(LOOKUP(2^15,SEARCH(Rules!$A$2:$A$200&amp;"",$B754)/(Rules!$A$2:$A$200&lt;&gt;""),Rules!$C$2:$C$200),"")&lt;&gt;E754,"⚠ Check sign","OK")))</f>
        <v/>
      </c>
    </row>
    <row r="755" customFormat="false" ht="15" hidden="false" customHeight="false" outlineLevel="0" collapsed="false">
      <c r="A755" s="3"/>
      <c r="B755" s="3"/>
      <c r="C755" s="3"/>
      <c r="D755" s="3" t="str">
        <f aca="false">IF($B755="","",IFERROR(LOOKUP(2^15,SEARCH(Rules!$A$2:$A$200&amp;"",$B755)/(Rules!$A$2:$A$200&lt;&gt;""),Rules!$B$2:$B$200),"Uncategorized"))</f>
        <v/>
      </c>
      <c r="E755" s="3" t="str">
        <f aca="false">IF($B755="","",IF($C755&gt;=0,"Income","Expense"))</f>
        <v/>
      </c>
      <c r="F755" s="3" t="str">
        <f aca="false">IF($B755="","",IFERROR(LOOKUP(2^15,SEARCH(Rules!$A$2:$A$200&amp;"",$B755)/(Rules!$A$2:$A$200&lt;&gt;""),Rules!$A$2:$A$200),""))</f>
        <v/>
      </c>
      <c r="G755" s="3" t="str">
        <f aca="false">IF($B755="","",IF(D755="Uncategorized","⚠ Review",IF(IFERROR(LOOKUP(2^15,SEARCH(Rules!$A$2:$A$200&amp;"",$B755)/(Rules!$A$2:$A$200&lt;&gt;""),Rules!$C$2:$C$200),"")&lt;&gt;E755,"⚠ Check sign","OK")))</f>
        <v/>
      </c>
    </row>
    <row r="756" customFormat="false" ht="15" hidden="false" customHeight="false" outlineLevel="0" collapsed="false">
      <c r="A756" s="3"/>
      <c r="B756" s="3"/>
      <c r="C756" s="3"/>
      <c r="D756" s="3" t="str">
        <f aca="false">IF($B756="","",IFERROR(LOOKUP(2^15,SEARCH(Rules!$A$2:$A$200&amp;"",$B756)/(Rules!$A$2:$A$200&lt;&gt;""),Rules!$B$2:$B$200),"Uncategorized"))</f>
        <v/>
      </c>
      <c r="E756" s="3" t="str">
        <f aca="false">IF($B756="","",IF($C756&gt;=0,"Income","Expense"))</f>
        <v/>
      </c>
      <c r="F756" s="3" t="str">
        <f aca="false">IF($B756="","",IFERROR(LOOKUP(2^15,SEARCH(Rules!$A$2:$A$200&amp;"",$B756)/(Rules!$A$2:$A$200&lt;&gt;""),Rules!$A$2:$A$200),""))</f>
        <v/>
      </c>
      <c r="G756" s="3" t="str">
        <f aca="false">IF($B756="","",IF(D756="Uncategorized","⚠ Review",IF(IFERROR(LOOKUP(2^15,SEARCH(Rules!$A$2:$A$200&amp;"",$B756)/(Rules!$A$2:$A$200&lt;&gt;""),Rules!$C$2:$C$200),"")&lt;&gt;E756,"⚠ Check sign","OK")))</f>
        <v/>
      </c>
    </row>
    <row r="757" customFormat="false" ht="15" hidden="false" customHeight="false" outlineLevel="0" collapsed="false">
      <c r="A757" s="3"/>
      <c r="B757" s="3"/>
      <c r="C757" s="3"/>
      <c r="D757" s="3" t="str">
        <f aca="false">IF($B757="","",IFERROR(LOOKUP(2^15,SEARCH(Rules!$A$2:$A$200&amp;"",$B757)/(Rules!$A$2:$A$200&lt;&gt;""),Rules!$B$2:$B$200),"Uncategorized"))</f>
        <v/>
      </c>
      <c r="E757" s="3" t="str">
        <f aca="false">IF($B757="","",IF($C757&gt;=0,"Income","Expense"))</f>
        <v/>
      </c>
      <c r="F757" s="3" t="str">
        <f aca="false">IF($B757="","",IFERROR(LOOKUP(2^15,SEARCH(Rules!$A$2:$A$200&amp;"",$B757)/(Rules!$A$2:$A$200&lt;&gt;""),Rules!$A$2:$A$200),""))</f>
        <v/>
      </c>
      <c r="G757" s="3" t="str">
        <f aca="false">IF($B757="","",IF(D757="Uncategorized","⚠ Review",IF(IFERROR(LOOKUP(2^15,SEARCH(Rules!$A$2:$A$200&amp;"",$B757)/(Rules!$A$2:$A$200&lt;&gt;""),Rules!$C$2:$C$200),"")&lt;&gt;E757,"⚠ Check sign","OK")))</f>
        <v/>
      </c>
    </row>
    <row r="758" customFormat="false" ht="15" hidden="false" customHeight="false" outlineLevel="0" collapsed="false">
      <c r="A758" s="3"/>
      <c r="B758" s="3"/>
      <c r="C758" s="3"/>
      <c r="D758" s="3" t="str">
        <f aca="false">IF($B758="","",IFERROR(LOOKUP(2^15,SEARCH(Rules!$A$2:$A$200&amp;"",$B758)/(Rules!$A$2:$A$200&lt;&gt;""),Rules!$B$2:$B$200),"Uncategorized"))</f>
        <v/>
      </c>
      <c r="E758" s="3" t="str">
        <f aca="false">IF($B758="","",IF($C758&gt;=0,"Income","Expense"))</f>
        <v/>
      </c>
      <c r="F758" s="3" t="str">
        <f aca="false">IF($B758="","",IFERROR(LOOKUP(2^15,SEARCH(Rules!$A$2:$A$200&amp;"",$B758)/(Rules!$A$2:$A$200&lt;&gt;""),Rules!$A$2:$A$200),""))</f>
        <v/>
      </c>
      <c r="G758" s="3" t="str">
        <f aca="false">IF($B758="","",IF(D758="Uncategorized","⚠ Review",IF(IFERROR(LOOKUP(2^15,SEARCH(Rules!$A$2:$A$200&amp;"",$B758)/(Rules!$A$2:$A$200&lt;&gt;""),Rules!$C$2:$C$200),"")&lt;&gt;E758,"⚠ Check sign","OK")))</f>
        <v/>
      </c>
    </row>
    <row r="759" customFormat="false" ht="15" hidden="false" customHeight="false" outlineLevel="0" collapsed="false">
      <c r="A759" s="3"/>
      <c r="B759" s="3"/>
      <c r="C759" s="3"/>
      <c r="D759" s="3" t="str">
        <f aca="false">IF($B759="","",IFERROR(LOOKUP(2^15,SEARCH(Rules!$A$2:$A$200&amp;"",$B759)/(Rules!$A$2:$A$200&lt;&gt;""),Rules!$B$2:$B$200),"Uncategorized"))</f>
        <v/>
      </c>
      <c r="E759" s="3" t="str">
        <f aca="false">IF($B759="","",IF($C759&gt;=0,"Income","Expense"))</f>
        <v/>
      </c>
      <c r="F759" s="3" t="str">
        <f aca="false">IF($B759="","",IFERROR(LOOKUP(2^15,SEARCH(Rules!$A$2:$A$200&amp;"",$B759)/(Rules!$A$2:$A$200&lt;&gt;""),Rules!$A$2:$A$200),""))</f>
        <v/>
      </c>
      <c r="G759" s="3" t="str">
        <f aca="false">IF($B759="","",IF(D759="Uncategorized","⚠ Review",IF(IFERROR(LOOKUP(2^15,SEARCH(Rules!$A$2:$A$200&amp;"",$B759)/(Rules!$A$2:$A$200&lt;&gt;""),Rules!$C$2:$C$200),"")&lt;&gt;E759,"⚠ Check sign","OK")))</f>
        <v/>
      </c>
    </row>
    <row r="760" customFormat="false" ht="15" hidden="false" customHeight="false" outlineLevel="0" collapsed="false">
      <c r="A760" s="3"/>
      <c r="B760" s="3"/>
      <c r="C760" s="3"/>
      <c r="D760" s="3" t="str">
        <f aca="false">IF($B760="","",IFERROR(LOOKUP(2^15,SEARCH(Rules!$A$2:$A$200&amp;"",$B760)/(Rules!$A$2:$A$200&lt;&gt;""),Rules!$B$2:$B$200),"Uncategorized"))</f>
        <v/>
      </c>
      <c r="E760" s="3" t="str">
        <f aca="false">IF($B760="","",IF($C760&gt;=0,"Income","Expense"))</f>
        <v/>
      </c>
      <c r="F760" s="3" t="str">
        <f aca="false">IF($B760="","",IFERROR(LOOKUP(2^15,SEARCH(Rules!$A$2:$A$200&amp;"",$B760)/(Rules!$A$2:$A$200&lt;&gt;""),Rules!$A$2:$A$200),""))</f>
        <v/>
      </c>
      <c r="G760" s="3" t="str">
        <f aca="false">IF($B760="","",IF(D760="Uncategorized","⚠ Review",IF(IFERROR(LOOKUP(2^15,SEARCH(Rules!$A$2:$A$200&amp;"",$B760)/(Rules!$A$2:$A$200&lt;&gt;""),Rules!$C$2:$C$200),"")&lt;&gt;E760,"⚠ Check sign","OK")))</f>
        <v/>
      </c>
    </row>
    <row r="761" customFormat="false" ht="15" hidden="false" customHeight="false" outlineLevel="0" collapsed="false">
      <c r="A761" s="3"/>
      <c r="B761" s="3"/>
      <c r="C761" s="3"/>
      <c r="D761" s="3" t="str">
        <f aca="false">IF($B761="","",IFERROR(LOOKUP(2^15,SEARCH(Rules!$A$2:$A$200&amp;"",$B761)/(Rules!$A$2:$A$200&lt;&gt;""),Rules!$B$2:$B$200),"Uncategorized"))</f>
        <v/>
      </c>
      <c r="E761" s="3" t="str">
        <f aca="false">IF($B761="","",IF($C761&gt;=0,"Income","Expense"))</f>
        <v/>
      </c>
      <c r="F761" s="3" t="str">
        <f aca="false">IF($B761="","",IFERROR(LOOKUP(2^15,SEARCH(Rules!$A$2:$A$200&amp;"",$B761)/(Rules!$A$2:$A$200&lt;&gt;""),Rules!$A$2:$A$200),""))</f>
        <v/>
      </c>
      <c r="G761" s="3" t="str">
        <f aca="false">IF($B761="","",IF(D761="Uncategorized","⚠ Review",IF(IFERROR(LOOKUP(2^15,SEARCH(Rules!$A$2:$A$200&amp;"",$B761)/(Rules!$A$2:$A$200&lt;&gt;""),Rules!$C$2:$C$200),"")&lt;&gt;E761,"⚠ Check sign","OK")))</f>
        <v/>
      </c>
    </row>
    <row r="762" customFormat="false" ht="15" hidden="false" customHeight="false" outlineLevel="0" collapsed="false">
      <c r="A762" s="3"/>
      <c r="B762" s="3"/>
      <c r="C762" s="3"/>
      <c r="D762" s="3" t="str">
        <f aca="false">IF($B762="","",IFERROR(LOOKUP(2^15,SEARCH(Rules!$A$2:$A$200&amp;"",$B762)/(Rules!$A$2:$A$200&lt;&gt;""),Rules!$B$2:$B$200),"Uncategorized"))</f>
        <v/>
      </c>
      <c r="E762" s="3" t="str">
        <f aca="false">IF($B762="","",IF($C762&gt;=0,"Income","Expense"))</f>
        <v/>
      </c>
      <c r="F762" s="3" t="str">
        <f aca="false">IF($B762="","",IFERROR(LOOKUP(2^15,SEARCH(Rules!$A$2:$A$200&amp;"",$B762)/(Rules!$A$2:$A$200&lt;&gt;""),Rules!$A$2:$A$200),""))</f>
        <v/>
      </c>
      <c r="G762" s="3" t="str">
        <f aca="false">IF($B762="","",IF(D762="Uncategorized","⚠ Review",IF(IFERROR(LOOKUP(2^15,SEARCH(Rules!$A$2:$A$200&amp;"",$B762)/(Rules!$A$2:$A$200&lt;&gt;""),Rules!$C$2:$C$200),"")&lt;&gt;E762,"⚠ Check sign","OK")))</f>
        <v/>
      </c>
    </row>
    <row r="763" customFormat="false" ht="15" hidden="false" customHeight="false" outlineLevel="0" collapsed="false">
      <c r="A763" s="3"/>
      <c r="B763" s="3"/>
      <c r="C763" s="3"/>
      <c r="D763" s="3" t="str">
        <f aca="false">IF($B763="","",IFERROR(LOOKUP(2^15,SEARCH(Rules!$A$2:$A$200&amp;"",$B763)/(Rules!$A$2:$A$200&lt;&gt;""),Rules!$B$2:$B$200),"Uncategorized"))</f>
        <v/>
      </c>
      <c r="E763" s="3" t="str">
        <f aca="false">IF($B763="","",IF($C763&gt;=0,"Income","Expense"))</f>
        <v/>
      </c>
      <c r="F763" s="3" t="str">
        <f aca="false">IF($B763="","",IFERROR(LOOKUP(2^15,SEARCH(Rules!$A$2:$A$200&amp;"",$B763)/(Rules!$A$2:$A$200&lt;&gt;""),Rules!$A$2:$A$200),""))</f>
        <v/>
      </c>
      <c r="G763" s="3" t="str">
        <f aca="false">IF($B763="","",IF(D763="Uncategorized","⚠ Review",IF(IFERROR(LOOKUP(2^15,SEARCH(Rules!$A$2:$A$200&amp;"",$B763)/(Rules!$A$2:$A$200&lt;&gt;""),Rules!$C$2:$C$200),"")&lt;&gt;E763,"⚠ Check sign","OK")))</f>
        <v/>
      </c>
    </row>
    <row r="764" customFormat="false" ht="15" hidden="false" customHeight="false" outlineLevel="0" collapsed="false">
      <c r="A764" s="3"/>
      <c r="B764" s="3"/>
      <c r="C764" s="3"/>
      <c r="D764" s="3" t="str">
        <f aca="false">IF($B764="","",IFERROR(LOOKUP(2^15,SEARCH(Rules!$A$2:$A$200&amp;"",$B764)/(Rules!$A$2:$A$200&lt;&gt;""),Rules!$B$2:$B$200),"Uncategorized"))</f>
        <v/>
      </c>
      <c r="E764" s="3" t="str">
        <f aca="false">IF($B764="","",IF($C764&gt;=0,"Income","Expense"))</f>
        <v/>
      </c>
      <c r="F764" s="3" t="str">
        <f aca="false">IF($B764="","",IFERROR(LOOKUP(2^15,SEARCH(Rules!$A$2:$A$200&amp;"",$B764)/(Rules!$A$2:$A$200&lt;&gt;""),Rules!$A$2:$A$200),""))</f>
        <v/>
      </c>
      <c r="G764" s="3" t="str">
        <f aca="false">IF($B764="","",IF(D764="Uncategorized","⚠ Review",IF(IFERROR(LOOKUP(2^15,SEARCH(Rules!$A$2:$A$200&amp;"",$B764)/(Rules!$A$2:$A$200&lt;&gt;""),Rules!$C$2:$C$200),"")&lt;&gt;E764,"⚠ Check sign","OK")))</f>
        <v/>
      </c>
    </row>
    <row r="765" customFormat="false" ht="15" hidden="false" customHeight="false" outlineLevel="0" collapsed="false">
      <c r="A765" s="3"/>
      <c r="B765" s="3"/>
      <c r="C765" s="3"/>
      <c r="D765" s="3" t="str">
        <f aca="false">IF($B765="","",IFERROR(LOOKUP(2^15,SEARCH(Rules!$A$2:$A$200&amp;"",$B765)/(Rules!$A$2:$A$200&lt;&gt;""),Rules!$B$2:$B$200),"Uncategorized"))</f>
        <v/>
      </c>
      <c r="E765" s="3" t="str">
        <f aca="false">IF($B765="","",IF($C765&gt;=0,"Income","Expense"))</f>
        <v/>
      </c>
      <c r="F765" s="3" t="str">
        <f aca="false">IF($B765="","",IFERROR(LOOKUP(2^15,SEARCH(Rules!$A$2:$A$200&amp;"",$B765)/(Rules!$A$2:$A$200&lt;&gt;""),Rules!$A$2:$A$200),""))</f>
        <v/>
      </c>
      <c r="G765" s="3" t="str">
        <f aca="false">IF($B765="","",IF(D765="Uncategorized","⚠ Review",IF(IFERROR(LOOKUP(2^15,SEARCH(Rules!$A$2:$A$200&amp;"",$B765)/(Rules!$A$2:$A$200&lt;&gt;""),Rules!$C$2:$C$200),"")&lt;&gt;E765,"⚠ Check sign","OK")))</f>
        <v/>
      </c>
    </row>
    <row r="766" customFormat="false" ht="15" hidden="false" customHeight="false" outlineLevel="0" collapsed="false">
      <c r="A766" s="3"/>
      <c r="B766" s="3"/>
      <c r="C766" s="3"/>
      <c r="D766" s="3" t="str">
        <f aca="false">IF($B766="","",IFERROR(LOOKUP(2^15,SEARCH(Rules!$A$2:$A$200&amp;"",$B766)/(Rules!$A$2:$A$200&lt;&gt;""),Rules!$B$2:$B$200),"Uncategorized"))</f>
        <v/>
      </c>
      <c r="E766" s="3" t="str">
        <f aca="false">IF($B766="","",IF($C766&gt;=0,"Income","Expense"))</f>
        <v/>
      </c>
      <c r="F766" s="3" t="str">
        <f aca="false">IF($B766="","",IFERROR(LOOKUP(2^15,SEARCH(Rules!$A$2:$A$200&amp;"",$B766)/(Rules!$A$2:$A$200&lt;&gt;""),Rules!$A$2:$A$200),""))</f>
        <v/>
      </c>
      <c r="G766" s="3" t="str">
        <f aca="false">IF($B766="","",IF(D766="Uncategorized","⚠ Review",IF(IFERROR(LOOKUP(2^15,SEARCH(Rules!$A$2:$A$200&amp;"",$B766)/(Rules!$A$2:$A$200&lt;&gt;""),Rules!$C$2:$C$200),"")&lt;&gt;E766,"⚠ Check sign","OK")))</f>
        <v/>
      </c>
    </row>
    <row r="767" customFormat="false" ht="15" hidden="false" customHeight="false" outlineLevel="0" collapsed="false">
      <c r="A767" s="3"/>
      <c r="B767" s="3"/>
      <c r="C767" s="3"/>
      <c r="D767" s="3" t="str">
        <f aca="false">IF($B767="","",IFERROR(LOOKUP(2^15,SEARCH(Rules!$A$2:$A$200&amp;"",$B767)/(Rules!$A$2:$A$200&lt;&gt;""),Rules!$B$2:$B$200),"Uncategorized"))</f>
        <v/>
      </c>
      <c r="E767" s="3" t="str">
        <f aca="false">IF($B767="","",IF($C767&gt;=0,"Income","Expense"))</f>
        <v/>
      </c>
      <c r="F767" s="3" t="str">
        <f aca="false">IF($B767="","",IFERROR(LOOKUP(2^15,SEARCH(Rules!$A$2:$A$200&amp;"",$B767)/(Rules!$A$2:$A$200&lt;&gt;""),Rules!$A$2:$A$200),""))</f>
        <v/>
      </c>
      <c r="G767" s="3" t="str">
        <f aca="false">IF($B767="","",IF(D767="Uncategorized","⚠ Review",IF(IFERROR(LOOKUP(2^15,SEARCH(Rules!$A$2:$A$200&amp;"",$B767)/(Rules!$A$2:$A$200&lt;&gt;""),Rules!$C$2:$C$200),"")&lt;&gt;E767,"⚠ Check sign","OK")))</f>
        <v/>
      </c>
    </row>
    <row r="768" customFormat="false" ht="15" hidden="false" customHeight="false" outlineLevel="0" collapsed="false">
      <c r="A768" s="3"/>
      <c r="B768" s="3"/>
      <c r="C768" s="3"/>
      <c r="D768" s="3" t="str">
        <f aca="false">IF($B768="","",IFERROR(LOOKUP(2^15,SEARCH(Rules!$A$2:$A$200&amp;"",$B768)/(Rules!$A$2:$A$200&lt;&gt;""),Rules!$B$2:$B$200),"Uncategorized"))</f>
        <v/>
      </c>
      <c r="E768" s="3" t="str">
        <f aca="false">IF($B768="","",IF($C768&gt;=0,"Income","Expense"))</f>
        <v/>
      </c>
      <c r="F768" s="3" t="str">
        <f aca="false">IF($B768="","",IFERROR(LOOKUP(2^15,SEARCH(Rules!$A$2:$A$200&amp;"",$B768)/(Rules!$A$2:$A$200&lt;&gt;""),Rules!$A$2:$A$200),""))</f>
        <v/>
      </c>
      <c r="G768" s="3" t="str">
        <f aca="false">IF($B768="","",IF(D768="Uncategorized","⚠ Review",IF(IFERROR(LOOKUP(2^15,SEARCH(Rules!$A$2:$A$200&amp;"",$B768)/(Rules!$A$2:$A$200&lt;&gt;""),Rules!$C$2:$C$200),"")&lt;&gt;E768,"⚠ Check sign","OK")))</f>
        <v/>
      </c>
    </row>
    <row r="769" customFormat="false" ht="15" hidden="false" customHeight="false" outlineLevel="0" collapsed="false">
      <c r="A769" s="3"/>
      <c r="B769" s="3"/>
      <c r="C769" s="3"/>
      <c r="D769" s="3" t="str">
        <f aca="false">IF($B769="","",IFERROR(LOOKUP(2^15,SEARCH(Rules!$A$2:$A$200&amp;"",$B769)/(Rules!$A$2:$A$200&lt;&gt;""),Rules!$B$2:$B$200),"Uncategorized"))</f>
        <v/>
      </c>
      <c r="E769" s="3" t="str">
        <f aca="false">IF($B769="","",IF($C769&gt;=0,"Income","Expense"))</f>
        <v/>
      </c>
      <c r="F769" s="3" t="str">
        <f aca="false">IF($B769="","",IFERROR(LOOKUP(2^15,SEARCH(Rules!$A$2:$A$200&amp;"",$B769)/(Rules!$A$2:$A$200&lt;&gt;""),Rules!$A$2:$A$200),""))</f>
        <v/>
      </c>
      <c r="G769" s="3" t="str">
        <f aca="false">IF($B769="","",IF(D769="Uncategorized","⚠ Review",IF(IFERROR(LOOKUP(2^15,SEARCH(Rules!$A$2:$A$200&amp;"",$B769)/(Rules!$A$2:$A$200&lt;&gt;""),Rules!$C$2:$C$200),"")&lt;&gt;E769,"⚠ Check sign","OK")))</f>
        <v/>
      </c>
    </row>
    <row r="770" customFormat="false" ht="15" hidden="false" customHeight="false" outlineLevel="0" collapsed="false">
      <c r="A770" s="3"/>
      <c r="B770" s="3"/>
      <c r="C770" s="3"/>
      <c r="D770" s="3" t="str">
        <f aca="false">IF($B770="","",IFERROR(LOOKUP(2^15,SEARCH(Rules!$A$2:$A$200&amp;"",$B770)/(Rules!$A$2:$A$200&lt;&gt;""),Rules!$B$2:$B$200),"Uncategorized"))</f>
        <v/>
      </c>
      <c r="E770" s="3" t="str">
        <f aca="false">IF($B770="","",IF($C770&gt;=0,"Income","Expense"))</f>
        <v/>
      </c>
      <c r="F770" s="3" t="str">
        <f aca="false">IF($B770="","",IFERROR(LOOKUP(2^15,SEARCH(Rules!$A$2:$A$200&amp;"",$B770)/(Rules!$A$2:$A$200&lt;&gt;""),Rules!$A$2:$A$200),""))</f>
        <v/>
      </c>
      <c r="G770" s="3" t="str">
        <f aca="false">IF($B770="","",IF(D770="Uncategorized","⚠ Review",IF(IFERROR(LOOKUP(2^15,SEARCH(Rules!$A$2:$A$200&amp;"",$B770)/(Rules!$A$2:$A$200&lt;&gt;""),Rules!$C$2:$C$200),"")&lt;&gt;E770,"⚠ Check sign","OK")))</f>
        <v/>
      </c>
    </row>
    <row r="771" customFormat="false" ht="15" hidden="false" customHeight="false" outlineLevel="0" collapsed="false">
      <c r="A771" s="3"/>
      <c r="B771" s="3"/>
      <c r="C771" s="3"/>
      <c r="D771" s="3" t="str">
        <f aca="false">IF($B771="","",IFERROR(LOOKUP(2^15,SEARCH(Rules!$A$2:$A$200&amp;"",$B771)/(Rules!$A$2:$A$200&lt;&gt;""),Rules!$B$2:$B$200),"Uncategorized"))</f>
        <v/>
      </c>
      <c r="E771" s="3" t="str">
        <f aca="false">IF($B771="","",IF($C771&gt;=0,"Income","Expense"))</f>
        <v/>
      </c>
      <c r="F771" s="3" t="str">
        <f aca="false">IF($B771="","",IFERROR(LOOKUP(2^15,SEARCH(Rules!$A$2:$A$200&amp;"",$B771)/(Rules!$A$2:$A$200&lt;&gt;""),Rules!$A$2:$A$200),""))</f>
        <v/>
      </c>
      <c r="G771" s="3" t="str">
        <f aca="false">IF($B771="","",IF(D771="Uncategorized","⚠ Review",IF(IFERROR(LOOKUP(2^15,SEARCH(Rules!$A$2:$A$200&amp;"",$B771)/(Rules!$A$2:$A$200&lt;&gt;""),Rules!$C$2:$C$200),"")&lt;&gt;E771,"⚠ Check sign","OK")))</f>
        <v/>
      </c>
    </row>
    <row r="772" customFormat="false" ht="15" hidden="false" customHeight="false" outlineLevel="0" collapsed="false">
      <c r="A772" s="3"/>
      <c r="B772" s="3"/>
      <c r="C772" s="3"/>
      <c r="D772" s="3" t="str">
        <f aca="false">IF($B772="","",IFERROR(LOOKUP(2^15,SEARCH(Rules!$A$2:$A$200&amp;"",$B772)/(Rules!$A$2:$A$200&lt;&gt;""),Rules!$B$2:$B$200),"Uncategorized"))</f>
        <v/>
      </c>
      <c r="E772" s="3" t="str">
        <f aca="false">IF($B772="","",IF($C772&gt;=0,"Income","Expense"))</f>
        <v/>
      </c>
      <c r="F772" s="3" t="str">
        <f aca="false">IF($B772="","",IFERROR(LOOKUP(2^15,SEARCH(Rules!$A$2:$A$200&amp;"",$B772)/(Rules!$A$2:$A$200&lt;&gt;""),Rules!$A$2:$A$200),""))</f>
        <v/>
      </c>
      <c r="G772" s="3" t="str">
        <f aca="false">IF($B772="","",IF(D772="Uncategorized","⚠ Review",IF(IFERROR(LOOKUP(2^15,SEARCH(Rules!$A$2:$A$200&amp;"",$B772)/(Rules!$A$2:$A$200&lt;&gt;""),Rules!$C$2:$C$200),"")&lt;&gt;E772,"⚠ Check sign","OK")))</f>
        <v/>
      </c>
    </row>
    <row r="773" customFormat="false" ht="15" hidden="false" customHeight="false" outlineLevel="0" collapsed="false">
      <c r="A773" s="3"/>
      <c r="B773" s="3"/>
      <c r="C773" s="3"/>
      <c r="D773" s="3" t="str">
        <f aca="false">IF($B773="","",IFERROR(LOOKUP(2^15,SEARCH(Rules!$A$2:$A$200&amp;"",$B773)/(Rules!$A$2:$A$200&lt;&gt;""),Rules!$B$2:$B$200),"Uncategorized"))</f>
        <v/>
      </c>
      <c r="E773" s="3" t="str">
        <f aca="false">IF($B773="","",IF($C773&gt;=0,"Income","Expense"))</f>
        <v/>
      </c>
      <c r="F773" s="3" t="str">
        <f aca="false">IF($B773="","",IFERROR(LOOKUP(2^15,SEARCH(Rules!$A$2:$A$200&amp;"",$B773)/(Rules!$A$2:$A$200&lt;&gt;""),Rules!$A$2:$A$200),""))</f>
        <v/>
      </c>
      <c r="G773" s="3" t="str">
        <f aca="false">IF($B773="","",IF(D773="Uncategorized","⚠ Review",IF(IFERROR(LOOKUP(2^15,SEARCH(Rules!$A$2:$A$200&amp;"",$B773)/(Rules!$A$2:$A$200&lt;&gt;""),Rules!$C$2:$C$200),"")&lt;&gt;E773,"⚠ Check sign","OK")))</f>
        <v/>
      </c>
    </row>
    <row r="774" customFormat="false" ht="15" hidden="false" customHeight="false" outlineLevel="0" collapsed="false">
      <c r="A774" s="3"/>
      <c r="B774" s="3"/>
      <c r="C774" s="3"/>
      <c r="D774" s="3" t="str">
        <f aca="false">IF($B774="","",IFERROR(LOOKUP(2^15,SEARCH(Rules!$A$2:$A$200&amp;"",$B774)/(Rules!$A$2:$A$200&lt;&gt;""),Rules!$B$2:$B$200),"Uncategorized"))</f>
        <v/>
      </c>
      <c r="E774" s="3" t="str">
        <f aca="false">IF($B774="","",IF($C774&gt;=0,"Income","Expense"))</f>
        <v/>
      </c>
      <c r="F774" s="3" t="str">
        <f aca="false">IF($B774="","",IFERROR(LOOKUP(2^15,SEARCH(Rules!$A$2:$A$200&amp;"",$B774)/(Rules!$A$2:$A$200&lt;&gt;""),Rules!$A$2:$A$200),""))</f>
        <v/>
      </c>
      <c r="G774" s="3" t="str">
        <f aca="false">IF($B774="","",IF(D774="Uncategorized","⚠ Review",IF(IFERROR(LOOKUP(2^15,SEARCH(Rules!$A$2:$A$200&amp;"",$B774)/(Rules!$A$2:$A$200&lt;&gt;""),Rules!$C$2:$C$200),"")&lt;&gt;E774,"⚠ Check sign","OK")))</f>
        <v/>
      </c>
    </row>
    <row r="775" customFormat="false" ht="15" hidden="false" customHeight="false" outlineLevel="0" collapsed="false">
      <c r="A775" s="3"/>
      <c r="B775" s="3"/>
      <c r="C775" s="3"/>
      <c r="D775" s="3" t="str">
        <f aca="false">IF($B775="","",IFERROR(LOOKUP(2^15,SEARCH(Rules!$A$2:$A$200&amp;"",$B775)/(Rules!$A$2:$A$200&lt;&gt;""),Rules!$B$2:$B$200),"Uncategorized"))</f>
        <v/>
      </c>
      <c r="E775" s="3" t="str">
        <f aca="false">IF($B775="","",IF($C775&gt;=0,"Income","Expense"))</f>
        <v/>
      </c>
      <c r="F775" s="3" t="str">
        <f aca="false">IF($B775="","",IFERROR(LOOKUP(2^15,SEARCH(Rules!$A$2:$A$200&amp;"",$B775)/(Rules!$A$2:$A$200&lt;&gt;""),Rules!$A$2:$A$200),""))</f>
        <v/>
      </c>
      <c r="G775" s="3" t="str">
        <f aca="false">IF($B775="","",IF(D775="Uncategorized","⚠ Review",IF(IFERROR(LOOKUP(2^15,SEARCH(Rules!$A$2:$A$200&amp;"",$B775)/(Rules!$A$2:$A$200&lt;&gt;""),Rules!$C$2:$C$200),"")&lt;&gt;E775,"⚠ Check sign","OK")))</f>
        <v/>
      </c>
    </row>
    <row r="776" customFormat="false" ht="15" hidden="false" customHeight="false" outlineLevel="0" collapsed="false">
      <c r="A776" s="3"/>
      <c r="B776" s="3"/>
      <c r="C776" s="3"/>
      <c r="D776" s="3" t="str">
        <f aca="false">IF($B776="","",IFERROR(LOOKUP(2^15,SEARCH(Rules!$A$2:$A$200&amp;"",$B776)/(Rules!$A$2:$A$200&lt;&gt;""),Rules!$B$2:$B$200),"Uncategorized"))</f>
        <v/>
      </c>
      <c r="E776" s="3" t="str">
        <f aca="false">IF($B776="","",IF($C776&gt;=0,"Income","Expense"))</f>
        <v/>
      </c>
      <c r="F776" s="3" t="str">
        <f aca="false">IF($B776="","",IFERROR(LOOKUP(2^15,SEARCH(Rules!$A$2:$A$200&amp;"",$B776)/(Rules!$A$2:$A$200&lt;&gt;""),Rules!$A$2:$A$200),""))</f>
        <v/>
      </c>
      <c r="G776" s="3" t="str">
        <f aca="false">IF($B776="","",IF(D776="Uncategorized","⚠ Review",IF(IFERROR(LOOKUP(2^15,SEARCH(Rules!$A$2:$A$200&amp;"",$B776)/(Rules!$A$2:$A$200&lt;&gt;""),Rules!$C$2:$C$200),"")&lt;&gt;E776,"⚠ Check sign","OK")))</f>
        <v/>
      </c>
    </row>
    <row r="777" customFormat="false" ht="15" hidden="false" customHeight="false" outlineLevel="0" collapsed="false">
      <c r="A777" s="3"/>
      <c r="B777" s="3"/>
      <c r="C777" s="3"/>
      <c r="D777" s="3" t="str">
        <f aca="false">IF($B777="","",IFERROR(LOOKUP(2^15,SEARCH(Rules!$A$2:$A$200&amp;"",$B777)/(Rules!$A$2:$A$200&lt;&gt;""),Rules!$B$2:$B$200),"Uncategorized"))</f>
        <v/>
      </c>
      <c r="E777" s="3" t="str">
        <f aca="false">IF($B777="","",IF($C777&gt;=0,"Income","Expense"))</f>
        <v/>
      </c>
      <c r="F777" s="3" t="str">
        <f aca="false">IF($B777="","",IFERROR(LOOKUP(2^15,SEARCH(Rules!$A$2:$A$200&amp;"",$B777)/(Rules!$A$2:$A$200&lt;&gt;""),Rules!$A$2:$A$200),""))</f>
        <v/>
      </c>
      <c r="G777" s="3" t="str">
        <f aca="false">IF($B777="","",IF(D777="Uncategorized","⚠ Review",IF(IFERROR(LOOKUP(2^15,SEARCH(Rules!$A$2:$A$200&amp;"",$B777)/(Rules!$A$2:$A$200&lt;&gt;""),Rules!$C$2:$C$200),"")&lt;&gt;E777,"⚠ Check sign","OK")))</f>
        <v/>
      </c>
    </row>
    <row r="778" customFormat="false" ht="15" hidden="false" customHeight="false" outlineLevel="0" collapsed="false">
      <c r="A778" s="3"/>
      <c r="B778" s="3"/>
      <c r="C778" s="3"/>
      <c r="D778" s="3" t="str">
        <f aca="false">IF($B778="","",IFERROR(LOOKUP(2^15,SEARCH(Rules!$A$2:$A$200&amp;"",$B778)/(Rules!$A$2:$A$200&lt;&gt;""),Rules!$B$2:$B$200),"Uncategorized"))</f>
        <v/>
      </c>
      <c r="E778" s="3" t="str">
        <f aca="false">IF($B778="","",IF($C778&gt;=0,"Income","Expense"))</f>
        <v/>
      </c>
      <c r="F778" s="3" t="str">
        <f aca="false">IF($B778="","",IFERROR(LOOKUP(2^15,SEARCH(Rules!$A$2:$A$200&amp;"",$B778)/(Rules!$A$2:$A$200&lt;&gt;""),Rules!$A$2:$A$200),""))</f>
        <v/>
      </c>
      <c r="G778" s="3" t="str">
        <f aca="false">IF($B778="","",IF(D778="Uncategorized","⚠ Review",IF(IFERROR(LOOKUP(2^15,SEARCH(Rules!$A$2:$A$200&amp;"",$B778)/(Rules!$A$2:$A$200&lt;&gt;""),Rules!$C$2:$C$200),"")&lt;&gt;E778,"⚠ Check sign","OK")))</f>
        <v/>
      </c>
    </row>
    <row r="779" customFormat="false" ht="15" hidden="false" customHeight="false" outlineLevel="0" collapsed="false">
      <c r="A779" s="3"/>
      <c r="B779" s="3"/>
      <c r="C779" s="3"/>
      <c r="D779" s="3" t="str">
        <f aca="false">IF($B779="","",IFERROR(LOOKUP(2^15,SEARCH(Rules!$A$2:$A$200&amp;"",$B779)/(Rules!$A$2:$A$200&lt;&gt;""),Rules!$B$2:$B$200),"Uncategorized"))</f>
        <v/>
      </c>
      <c r="E779" s="3" t="str">
        <f aca="false">IF($B779="","",IF($C779&gt;=0,"Income","Expense"))</f>
        <v/>
      </c>
      <c r="F779" s="3" t="str">
        <f aca="false">IF($B779="","",IFERROR(LOOKUP(2^15,SEARCH(Rules!$A$2:$A$200&amp;"",$B779)/(Rules!$A$2:$A$200&lt;&gt;""),Rules!$A$2:$A$200),""))</f>
        <v/>
      </c>
      <c r="G779" s="3" t="str">
        <f aca="false">IF($B779="","",IF(D779="Uncategorized","⚠ Review",IF(IFERROR(LOOKUP(2^15,SEARCH(Rules!$A$2:$A$200&amp;"",$B779)/(Rules!$A$2:$A$200&lt;&gt;""),Rules!$C$2:$C$200),"")&lt;&gt;E779,"⚠ Check sign","OK")))</f>
        <v/>
      </c>
    </row>
    <row r="780" customFormat="false" ht="15" hidden="false" customHeight="false" outlineLevel="0" collapsed="false">
      <c r="A780" s="3"/>
      <c r="B780" s="3"/>
      <c r="C780" s="3"/>
      <c r="D780" s="3" t="str">
        <f aca="false">IF($B780="","",IFERROR(LOOKUP(2^15,SEARCH(Rules!$A$2:$A$200&amp;"",$B780)/(Rules!$A$2:$A$200&lt;&gt;""),Rules!$B$2:$B$200),"Uncategorized"))</f>
        <v/>
      </c>
      <c r="E780" s="3" t="str">
        <f aca="false">IF($B780="","",IF($C780&gt;=0,"Income","Expense"))</f>
        <v/>
      </c>
      <c r="F780" s="3" t="str">
        <f aca="false">IF($B780="","",IFERROR(LOOKUP(2^15,SEARCH(Rules!$A$2:$A$200&amp;"",$B780)/(Rules!$A$2:$A$200&lt;&gt;""),Rules!$A$2:$A$200),""))</f>
        <v/>
      </c>
      <c r="G780" s="3" t="str">
        <f aca="false">IF($B780="","",IF(D780="Uncategorized","⚠ Review",IF(IFERROR(LOOKUP(2^15,SEARCH(Rules!$A$2:$A$200&amp;"",$B780)/(Rules!$A$2:$A$200&lt;&gt;""),Rules!$C$2:$C$200),"")&lt;&gt;E780,"⚠ Check sign","OK")))</f>
        <v/>
      </c>
    </row>
    <row r="781" customFormat="false" ht="15" hidden="false" customHeight="false" outlineLevel="0" collapsed="false">
      <c r="A781" s="3"/>
      <c r="B781" s="3"/>
      <c r="C781" s="3"/>
      <c r="D781" s="3" t="str">
        <f aca="false">IF($B781="","",IFERROR(LOOKUP(2^15,SEARCH(Rules!$A$2:$A$200&amp;"",$B781)/(Rules!$A$2:$A$200&lt;&gt;""),Rules!$B$2:$B$200),"Uncategorized"))</f>
        <v/>
      </c>
      <c r="E781" s="3" t="str">
        <f aca="false">IF($B781="","",IF($C781&gt;=0,"Income","Expense"))</f>
        <v/>
      </c>
      <c r="F781" s="3" t="str">
        <f aca="false">IF($B781="","",IFERROR(LOOKUP(2^15,SEARCH(Rules!$A$2:$A$200&amp;"",$B781)/(Rules!$A$2:$A$200&lt;&gt;""),Rules!$A$2:$A$200),""))</f>
        <v/>
      </c>
      <c r="G781" s="3" t="str">
        <f aca="false">IF($B781="","",IF(D781="Uncategorized","⚠ Review",IF(IFERROR(LOOKUP(2^15,SEARCH(Rules!$A$2:$A$200&amp;"",$B781)/(Rules!$A$2:$A$200&lt;&gt;""),Rules!$C$2:$C$200),"")&lt;&gt;E781,"⚠ Check sign","OK")))</f>
        <v/>
      </c>
    </row>
    <row r="782" customFormat="false" ht="15" hidden="false" customHeight="false" outlineLevel="0" collapsed="false">
      <c r="A782" s="3"/>
      <c r="B782" s="3"/>
      <c r="C782" s="3"/>
      <c r="D782" s="3" t="str">
        <f aca="false">IF($B782="","",IFERROR(LOOKUP(2^15,SEARCH(Rules!$A$2:$A$200&amp;"",$B782)/(Rules!$A$2:$A$200&lt;&gt;""),Rules!$B$2:$B$200),"Uncategorized"))</f>
        <v/>
      </c>
      <c r="E782" s="3" t="str">
        <f aca="false">IF($B782="","",IF($C782&gt;=0,"Income","Expense"))</f>
        <v/>
      </c>
      <c r="F782" s="3" t="str">
        <f aca="false">IF($B782="","",IFERROR(LOOKUP(2^15,SEARCH(Rules!$A$2:$A$200&amp;"",$B782)/(Rules!$A$2:$A$200&lt;&gt;""),Rules!$A$2:$A$200),""))</f>
        <v/>
      </c>
      <c r="G782" s="3" t="str">
        <f aca="false">IF($B782="","",IF(D782="Uncategorized","⚠ Review",IF(IFERROR(LOOKUP(2^15,SEARCH(Rules!$A$2:$A$200&amp;"",$B782)/(Rules!$A$2:$A$200&lt;&gt;""),Rules!$C$2:$C$200),"")&lt;&gt;E782,"⚠ Check sign","OK")))</f>
        <v/>
      </c>
    </row>
    <row r="783" customFormat="false" ht="15" hidden="false" customHeight="false" outlineLevel="0" collapsed="false">
      <c r="A783" s="3"/>
      <c r="B783" s="3"/>
      <c r="C783" s="3"/>
      <c r="D783" s="3" t="str">
        <f aca="false">IF($B783="","",IFERROR(LOOKUP(2^15,SEARCH(Rules!$A$2:$A$200&amp;"",$B783)/(Rules!$A$2:$A$200&lt;&gt;""),Rules!$B$2:$B$200),"Uncategorized"))</f>
        <v/>
      </c>
      <c r="E783" s="3" t="str">
        <f aca="false">IF($B783="","",IF($C783&gt;=0,"Income","Expense"))</f>
        <v/>
      </c>
      <c r="F783" s="3" t="str">
        <f aca="false">IF($B783="","",IFERROR(LOOKUP(2^15,SEARCH(Rules!$A$2:$A$200&amp;"",$B783)/(Rules!$A$2:$A$200&lt;&gt;""),Rules!$A$2:$A$200),""))</f>
        <v/>
      </c>
      <c r="G783" s="3" t="str">
        <f aca="false">IF($B783="","",IF(D783="Uncategorized","⚠ Review",IF(IFERROR(LOOKUP(2^15,SEARCH(Rules!$A$2:$A$200&amp;"",$B783)/(Rules!$A$2:$A$200&lt;&gt;""),Rules!$C$2:$C$200),"")&lt;&gt;E783,"⚠ Check sign","OK")))</f>
        <v/>
      </c>
    </row>
    <row r="784" customFormat="false" ht="15" hidden="false" customHeight="false" outlineLevel="0" collapsed="false">
      <c r="A784" s="3"/>
      <c r="B784" s="3"/>
      <c r="C784" s="3"/>
      <c r="D784" s="3" t="str">
        <f aca="false">IF($B784="","",IFERROR(LOOKUP(2^15,SEARCH(Rules!$A$2:$A$200&amp;"",$B784)/(Rules!$A$2:$A$200&lt;&gt;""),Rules!$B$2:$B$200),"Uncategorized"))</f>
        <v/>
      </c>
      <c r="E784" s="3" t="str">
        <f aca="false">IF($B784="","",IF($C784&gt;=0,"Income","Expense"))</f>
        <v/>
      </c>
      <c r="F784" s="3" t="str">
        <f aca="false">IF($B784="","",IFERROR(LOOKUP(2^15,SEARCH(Rules!$A$2:$A$200&amp;"",$B784)/(Rules!$A$2:$A$200&lt;&gt;""),Rules!$A$2:$A$200),""))</f>
        <v/>
      </c>
      <c r="G784" s="3" t="str">
        <f aca="false">IF($B784="","",IF(D784="Uncategorized","⚠ Review",IF(IFERROR(LOOKUP(2^15,SEARCH(Rules!$A$2:$A$200&amp;"",$B784)/(Rules!$A$2:$A$200&lt;&gt;""),Rules!$C$2:$C$200),"")&lt;&gt;E784,"⚠ Check sign","OK")))</f>
        <v/>
      </c>
    </row>
    <row r="785" customFormat="false" ht="15" hidden="false" customHeight="false" outlineLevel="0" collapsed="false">
      <c r="A785" s="3"/>
      <c r="B785" s="3"/>
      <c r="C785" s="3"/>
      <c r="D785" s="3" t="str">
        <f aca="false">IF($B785="","",IFERROR(LOOKUP(2^15,SEARCH(Rules!$A$2:$A$200&amp;"",$B785)/(Rules!$A$2:$A$200&lt;&gt;""),Rules!$B$2:$B$200),"Uncategorized"))</f>
        <v/>
      </c>
      <c r="E785" s="3" t="str">
        <f aca="false">IF($B785="","",IF($C785&gt;=0,"Income","Expense"))</f>
        <v/>
      </c>
      <c r="F785" s="3" t="str">
        <f aca="false">IF($B785="","",IFERROR(LOOKUP(2^15,SEARCH(Rules!$A$2:$A$200&amp;"",$B785)/(Rules!$A$2:$A$200&lt;&gt;""),Rules!$A$2:$A$200),""))</f>
        <v/>
      </c>
      <c r="G785" s="3" t="str">
        <f aca="false">IF($B785="","",IF(D785="Uncategorized","⚠ Review",IF(IFERROR(LOOKUP(2^15,SEARCH(Rules!$A$2:$A$200&amp;"",$B785)/(Rules!$A$2:$A$200&lt;&gt;""),Rules!$C$2:$C$200),"")&lt;&gt;E785,"⚠ Check sign","OK")))</f>
        <v/>
      </c>
    </row>
    <row r="786" customFormat="false" ht="15" hidden="false" customHeight="false" outlineLevel="0" collapsed="false">
      <c r="A786" s="3"/>
      <c r="B786" s="3"/>
      <c r="C786" s="3"/>
      <c r="D786" s="3" t="str">
        <f aca="false">IF($B786="","",IFERROR(LOOKUP(2^15,SEARCH(Rules!$A$2:$A$200&amp;"",$B786)/(Rules!$A$2:$A$200&lt;&gt;""),Rules!$B$2:$B$200),"Uncategorized"))</f>
        <v/>
      </c>
      <c r="E786" s="3" t="str">
        <f aca="false">IF($B786="","",IF($C786&gt;=0,"Income","Expense"))</f>
        <v/>
      </c>
      <c r="F786" s="3" t="str">
        <f aca="false">IF($B786="","",IFERROR(LOOKUP(2^15,SEARCH(Rules!$A$2:$A$200&amp;"",$B786)/(Rules!$A$2:$A$200&lt;&gt;""),Rules!$A$2:$A$200),""))</f>
        <v/>
      </c>
      <c r="G786" s="3" t="str">
        <f aca="false">IF($B786="","",IF(D786="Uncategorized","⚠ Review",IF(IFERROR(LOOKUP(2^15,SEARCH(Rules!$A$2:$A$200&amp;"",$B786)/(Rules!$A$2:$A$200&lt;&gt;""),Rules!$C$2:$C$200),"")&lt;&gt;E786,"⚠ Check sign","OK")))</f>
        <v/>
      </c>
    </row>
    <row r="787" customFormat="false" ht="15" hidden="false" customHeight="false" outlineLevel="0" collapsed="false">
      <c r="A787" s="3"/>
      <c r="B787" s="3"/>
      <c r="C787" s="3"/>
      <c r="D787" s="3" t="str">
        <f aca="false">IF($B787="","",IFERROR(LOOKUP(2^15,SEARCH(Rules!$A$2:$A$200&amp;"",$B787)/(Rules!$A$2:$A$200&lt;&gt;""),Rules!$B$2:$B$200),"Uncategorized"))</f>
        <v/>
      </c>
      <c r="E787" s="3" t="str">
        <f aca="false">IF($B787="","",IF($C787&gt;=0,"Income","Expense"))</f>
        <v/>
      </c>
      <c r="F787" s="3" t="str">
        <f aca="false">IF($B787="","",IFERROR(LOOKUP(2^15,SEARCH(Rules!$A$2:$A$200&amp;"",$B787)/(Rules!$A$2:$A$200&lt;&gt;""),Rules!$A$2:$A$200),""))</f>
        <v/>
      </c>
      <c r="G787" s="3" t="str">
        <f aca="false">IF($B787="","",IF(D787="Uncategorized","⚠ Review",IF(IFERROR(LOOKUP(2^15,SEARCH(Rules!$A$2:$A$200&amp;"",$B787)/(Rules!$A$2:$A$200&lt;&gt;""),Rules!$C$2:$C$200),"")&lt;&gt;E787,"⚠ Check sign","OK")))</f>
        <v/>
      </c>
    </row>
    <row r="788" customFormat="false" ht="15" hidden="false" customHeight="false" outlineLevel="0" collapsed="false">
      <c r="A788" s="3"/>
      <c r="B788" s="3"/>
      <c r="C788" s="3"/>
      <c r="D788" s="3" t="str">
        <f aca="false">IF($B788="","",IFERROR(LOOKUP(2^15,SEARCH(Rules!$A$2:$A$200&amp;"",$B788)/(Rules!$A$2:$A$200&lt;&gt;""),Rules!$B$2:$B$200),"Uncategorized"))</f>
        <v/>
      </c>
      <c r="E788" s="3" t="str">
        <f aca="false">IF($B788="","",IF($C788&gt;=0,"Income","Expense"))</f>
        <v/>
      </c>
      <c r="F788" s="3" t="str">
        <f aca="false">IF($B788="","",IFERROR(LOOKUP(2^15,SEARCH(Rules!$A$2:$A$200&amp;"",$B788)/(Rules!$A$2:$A$200&lt;&gt;""),Rules!$A$2:$A$200),""))</f>
        <v/>
      </c>
      <c r="G788" s="3" t="str">
        <f aca="false">IF($B788="","",IF(D788="Uncategorized","⚠ Review",IF(IFERROR(LOOKUP(2^15,SEARCH(Rules!$A$2:$A$200&amp;"",$B788)/(Rules!$A$2:$A$200&lt;&gt;""),Rules!$C$2:$C$200),"")&lt;&gt;E788,"⚠ Check sign","OK")))</f>
        <v/>
      </c>
    </row>
    <row r="789" customFormat="false" ht="15" hidden="false" customHeight="false" outlineLevel="0" collapsed="false">
      <c r="A789" s="3"/>
      <c r="B789" s="3"/>
      <c r="C789" s="3"/>
      <c r="D789" s="3" t="str">
        <f aca="false">IF($B789="","",IFERROR(LOOKUP(2^15,SEARCH(Rules!$A$2:$A$200&amp;"",$B789)/(Rules!$A$2:$A$200&lt;&gt;""),Rules!$B$2:$B$200),"Uncategorized"))</f>
        <v/>
      </c>
      <c r="E789" s="3" t="str">
        <f aca="false">IF($B789="","",IF($C789&gt;=0,"Income","Expense"))</f>
        <v/>
      </c>
      <c r="F789" s="3" t="str">
        <f aca="false">IF($B789="","",IFERROR(LOOKUP(2^15,SEARCH(Rules!$A$2:$A$200&amp;"",$B789)/(Rules!$A$2:$A$200&lt;&gt;""),Rules!$A$2:$A$200),""))</f>
        <v/>
      </c>
      <c r="G789" s="3" t="str">
        <f aca="false">IF($B789="","",IF(D789="Uncategorized","⚠ Review",IF(IFERROR(LOOKUP(2^15,SEARCH(Rules!$A$2:$A$200&amp;"",$B789)/(Rules!$A$2:$A$200&lt;&gt;""),Rules!$C$2:$C$200),"")&lt;&gt;E789,"⚠ Check sign","OK")))</f>
        <v/>
      </c>
    </row>
    <row r="790" customFormat="false" ht="15" hidden="false" customHeight="false" outlineLevel="0" collapsed="false">
      <c r="A790" s="3"/>
      <c r="B790" s="3"/>
      <c r="C790" s="3"/>
      <c r="D790" s="3" t="str">
        <f aca="false">IF($B790="","",IFERROR(LOOKUP(2^15,SEARCH(Rules!$A$2:$A$200&amp;"",$B790)/(Rules!$A$2:$A$200&lt;&gt;""),Rules!$B$2:$B$200),"Uncategorized"))</f>
        <v/>
      </c>
      <c r="E790" s="3" t="str">
        <f aca="false">IF($B790="","",IF($C790&gt;=0,"Income","Expense"))</f>
        <v/>
      </c>
      <c r="F790" s="3" t="str">
        <f aca="false">IF($B790="","",IFERROR(LOOKUP(2^15,SEARCH(Rules!$A$2:$A$200&amp;"",$B790)/(Rules!$A$2:$A$200&lt;&gt;""),Rules!$A$2:$A$200),""))</f>
        <v/>
      </c>
      <c r="G790" s="3" t="str">
        <f aca="false">IF($B790="","",IF(D790="Uncategorized","⚠ Review",IF(IFERROR(LOOKUP(2^15,SEARCH(Rules!$A$2:$A$200&amp;"",$B790)/(Rules!$A$2:$A$200&lt;&gt;""),Rules!$C$2:$C$200),"")&lt;&gt;E790,"⚠ Check sign","OK")))</f>
        <v/>
      </c>
    </row>
    <row r="791" customFormat="false" ht="15" hidden="false" customHeight="false" outlineLevel="0" collapsed="false">
      <c r="A791" s="3"/>
      <c r="B791" s="3"/>
      <c r="C791" s="3"/>
      <c r="D791" s="3" t="str">
        <f aca="false">IF($B791="","",IFERROR(LOOKUP(2^15,SEARCH(Rules!$A$2:$A$200&amp;"",$B791)/(Rules!$A$2:$A$200&lt;&gt;""),Rules!$B$2:$B$200),"Uncategorized"))</f>
        <v/>
      </c>
      <c r="E791" s="3" t="str">
        <f aca="false">IF($B791="","",IF($C791&gt;=0,"Income","Expense"))</f>
        <v/>
      </c>
      <c r="F791" s="3" t="str">
        <f aca="false">IF($B791="","",IFERROR(LOOKUP(2^15,SEARCH(Rules!$A$2:$A$200&amp;"",$B791)/(Rules!$A$2:$A$200&lt;&gt;""),Rules!$A$2:$A$200),""))</f>
        <v/>
      </c>
      <c r="G791" s="3" t="str">
        <f aca="false">IF($B791="","",IF(D791="Uncategorized","⚠ Review",IF(IFERROR(LOOKUP(2^15,SEARCH(Rules!$A$2:$A$200&amp;"",$B791)/(Rules!$A$2:$A$200&lt;&gt;""),Rules!$C$2:$C$200),"")&lt;&gt;E791,"⚠ Check sign","OK")))</f>
        <v/>
      </c>
    </row>
    <row r="792" customFormat="false" ht="15" hidden="false" customHeight="false" outlineLevel="0" collapsed="false">
      <c r="A792" s="3"/>
      <c r="B792" s="3"/>
      <c r="C792" s="3"/>
      <c r="D792" s="3" t="str">
        <f aca="false">IF($B792="","",IFERROR(LOOKUP(2^15,SEARCH(Rules!$A$2:$A$200&amp;"",$B792)/(Rules!$A$2:$A$200&lt;&gt;""),Rules!$B$2:$B$200),"Uncategorized"))</f>
        <v/>
      </c>
      <c r="E792" s="3" t="str">
        <f aca="false">IF($B792="","",IF($C792&gt;=0,"Income","Expense"))</f>
        <v/>
      </c>
      <c r="F792" s="3" t="str">
        <f aca="false">IF($B792="","",IFERROR(LOOKUP(2^15,SEARCH(Rules!$A$2:$A$200&amp;"",$B792)/(Rules!$A$2:$A$200&lt;&gt;""),Rules!$A$2:$A$200),""))</f>
        <v/>
      </c>
      <c r="G792" s="3" t="str">
        <f aca="false">IF($B792="","",IF(D792="Uncategorized","⚠ Review",IF(IFERROR(LOOKUP(2^15,SEARCH(Rules!$A$2:$A$200&amp;"",$B792)/(Rules!$A$2:$A$200&lt;&gt;""),Rules!$C$2:$C$200),"")&lt;&gt;E792,"⚠ Check sign","OK")))</f>
        <v/>
      </c>
    </row>
    <row r="793" customFormat="false" ht="15" hidden="false" customHeight="false" outlineLevel="0" collapsed="false">
      <c r="A793" s="3"/>
      <c r="B793" s="3"/>
      <c r="C793" s="3"/>
      <c r="D793" s="3" t="str">
        <f aca="false">IF($B793="","",IFERROR(LOOKUP(2^15,SEARCH(Rules!$A$2:$A$200&amp;"",$B793)/(Rules!$A$2:$A$200&lt;&gt;""),Rules!$B$2:$B$200),"Uncategorized"))</f>
        <v/>
      </c>
      <c r="E793" s="3" t="str">
        <f aca="false">IF($B793="","",IF($C793&gt;=0,"Income","Expense"))</f>
        <v/>
      </c>
      <c r="F793" s="3" t="str">
        <f aca="false">IF($B793="","",IFERROR(LOOKUP(2^15,SEARCH(Rules!$A$2:$A$200&amp;"",$B793)/(Rules!$A$2:$A$200&lt;&gt;""),Rules!$A$2:$A$200),""))</f>
        <v/>
      </c>
      <c r="G793" s="3" t="str">
        <f aca="false">IF($B793="","",IF(D793="Uncategorized","⚠ Review",IF(IFERROR(LOOKUP(2^15,SEARCH(Rules!$A$2:$A$200&amp;"",$B793)/(Rules!$A$2:$A$200&lt;&gt;""),Rules!$C$2:$C$200),"")&lt;&gt;E793,"⚠ Check sign","OK")))</f>
        <v/>
      </c>
    </row>
    <row r="794" customFormat="false" ht="15" hidden="false" customHeight="false" outlineLevel="0" collapsed="false">
      <c r="A794" s="3"/>
      <c r="B794" s="3"/>
      <c r="C794" s="3"/>
      <c r="D794" s="3" t="str">
        <f aca="false">IF($B794="","",IFERROR(LOOKUP(2^15,SEARCH(Rules!$A$2:$A$200&amp;"",$B794)/(Rules!$A$2:$A$200&lt;&gt;""),Rules!$B$2:$B$200),"Uncategorized"))</f>
        <v/>
      </c>
      <c r="E794" s="3" t="str">
        <f aca="false">IF($B794="","",IF($C794&gt;=0,"Income","Expense"))</f>
        <v/>
      </c>
      <c r="F794" s="3" t="str">
        <f aca="false">IF($B794="","",IFERROR(LOOKUP(2^15,SEARCH(Rules!$A$2:$A$200&amp;"",$B794)/(Rules!$A$2:$A$200&lt;&gt;""),Rules!$A$2:$A$200),""))</f>
        <v/>
      </c>
      <c r="G794" s="3" t="str">
        <f aca="false">IF($B794="","",IF(D794="Uncategorized","⚠ Review",IF(IFERROR(LOOKUP(2^15,SEARCH(Rules!$A$2:$A$200&amp;"",$B794)/(Rules!$A$2:$A$200&lt;&gt;""),Rules!$C$2:$C$200),"")&lt;&gt;E794,"⚠ Check sign","OK")))</f>
        <v/>
      </c>
    </row>
    <row r="795" customFormat="false" ht="15" hidden="false" customHeight="false" outlineLevel="0" collapsed="false">
      <c r="A795" s="3"/>
      <c r="B795" s="3"/>
      <c r="C795" s="3"/>
      <c r="D795" s="3" t="str">
        <f aca="false">IF($B795="","",IFERROR(LOOKUP(2^15,SEARCH(Rules!$A$2:$A$200&amp;"",$B795)/(Rules!$A$2:$A$200&lt;&gt;""),Rules!$B$2:$B$200),"Uncategorized"))</f>
        <v/>
      </c>
      <c r="E795" s="3" t="str">
        <f aca="false">IF($B795="","",IF($C795&gt;=0,"Income","Expense"))</f>
        <v/>
      </c>
      <c r="F795" s="3" t="str">
        <f aca="false">IF($B795="","",IFERROR(LOOKUP(2^15,SEARCH(Rules!$A$2:$A$200&amp;"",$B795)/(Rules!$A$2:$A$200&lt;&gt;""),Rules!$A$2:$A$200),""))</f>
        <v/>
      </c>
      <c r="G795" s="3" t="str">
        <f aca="false">IF($B795="","",IF(D795="Uncategorized","⚠ Review",IF(IFERROR(LOOKUP(2^15,SEARCH(Rules!$A$2:$A$200&amp;"",$B795)/(Rules!$A$2:$A$200&lt;&gt;""),Rules!$C$2:$C$200),"")&lt;&gt;E795,"⚠ Check sign","OK")))</f>
        <v/>
      </c>
    </row>
    <row r="796" customFormat="false" ht="15" hidden="false" customHeight="false" outlineLevel="0" collapsed="false">
      <c r="A796" s="3"/>
      <c r="B796" s="3"/>
      <c r="C796" s="3"/>
      <c r="D796" s="3" t="str">
        <f aca="false">IF($B796="","",IFERROR(LOOKUP(2^15,SEARCH(Rules!$A$2:$A$200&amp;"",$B796)/(Rules!$A$2:$A$200&lt;&gt;""),Rules!$B$2:$B$200),"Uncategorized"))</f>
        <v/>
      </c>
      <c r="E796" s="3" t="str">
        <f aca="false">IF($B796="","",IF($C796&gt;=0,"Income","Expense"))</f>
        <v/>
      </c>
      <c r="F796" s="3" t="str">
        <f aca="false">IF($B796="","",IFERROR(LOOKUP(2^15,SEARCH(Rules!$A$2:$A$200&amp;"",$B796)/(Rules!$A$2:$A$200&lt;&gt;""),Rules!$A$2:$A$200),""))</f>
        <v/>
      </c>
      <c r="G796" s="3" t="str">
        <f aca="false">IF($B796="","",IF(D796="Uncategorized","⚠ Review",IF(IFERROR(LOOKUP(2^15,SEARCH(Rules!$A$2:$A$200&amp;"",$B796)/(Rules!$A$2:$A$200&lt;&gt;""),Rules!$C$2:$C$200),"")&lt;&gt;E796,"⚠ Check sign","OK")))</f>
        <v/>
      </c>
    </row>
    <row r="797" customFormat="false" ht="15" hidden="false" customHeight="false" outlineLevel="0" collapsed="false">
      <c r="A797" s="3"/>
      <c r="B797" s="3"/>
      <c r="C797" s="3"/>
      <c r="D797" s="3" t="str">
        <f aca="false">IF($B797="","",IFERROR(LOOKUP(2^15,SEARCH(Rules!$A$2:$A$200&amp;"",$B797)/(Rules!$A$2:$A$200&lt;&gt;""),Rules!$B$2:$B$200),"Uncategorized"))</f>
        <v/>
      </c>
      <c r="E797" s="3" t="str">
        <f aca="false">IF($B797="","",IF($C797&gt;=0,"Income","Expense"))</f>
        <v/>
      </c>
      <c r="F797" s="3" t="str">
        <f aca="false">IF($B797="","",IFERROR(LOOKUP(2^15,SEARCH(Rules!$A$2:$A$200&amp;"",$B797)/(Rules!$A$2:$A$200&lt;&gt;""),Rules!$A$2:$A$200),""))</f>
        <v/>
      </c>
      <c r="G797" s="3" t="str">
        <f aca="false">IF($B797="","",IF(D797="Uncategorized","⚠ Review",IF(IFERROR(LOOKUP(2^15,SEARCH(Rules!$A$2:$A$200&amp;"",$B797)/(Rules!$A$2:$A$200&lt;&gt;""),Rules!$C$2:$C$200),"")&lt;&gt;E797,"⚠ Check sign","OK")))</f>
        <v/>
      </c>
    </row>
    <row r="798" customFormat="false" ht="15" hidden="false" customHeight="false" outlineLevel="0" collapsed="false">
      <c r="A798" s="3"/>
      <c r="B798" s="3"/>
      <c r="C798" s="3"/>
      <c r="D798" s="3" t="str">
        <f aca="false">IF($B798="","",IFERROR(LOOKUP(2^15,SEARCH(Rules!$A$2:$A$200&amp;"",$B798)/(Rules!$A$2:$A$200&lt;&gt;""),Rules!$B$2:$B$200),"Uncategorized"))</f>
        <v/>
      </c>
      <c r="E798" s="3" t="str">
        <f aca="false">IF($B798="","",IF($C798&gt;=0,"Income","Expense"))</f>
        <v/>
      </c>
      <c r="F798" s="3" t="str">
        <f aca="false">IF($B798="","",IFERROR(LOOKUP(2^15,SEARCH(Rules!$A$2:$A$200&amp;"",$B798)/(Rules!$A$2:$A$200&lt;&gt;""),Rules!$A$2:$A$200),""))</f>
        <v/>
      </c>
      <c r="G798" s="3" t="str">
        <f aca="false">IF($B798="","",IF(D798="Uncategorized","⚠ Review",IF(IFERROR(LOOKUP(2^15,SEARCH(Rules!$A$2:$A$200&amp;"",$B798)/(Rules!$A$2:$A$200&lt;&gt;""),Rules!$C$2:$C$200),"")&lt;&gt;E798,"⚠ Check sign","OK")))</f>
        <v/>
      </c>
    </row>
    <row r="799" customFormat="false" ht="15" hidden="false" customHeight="false" outlineLevel="0" collapsed="false">
      <c r="A799" s="3"/>
      <c r="B799" s="3"/>
      <c r="C799" s="3"/>
      <c r="D799" s="3" t="str">
        <f aca="false">IF($B799="","",IFERROR(LOOKUP(2^15,SEARCH(Rules!$A$2:$A$200&amp;"",$B799)/(Rules!$A$2:$A$200&lt;&gt;""),Rules!$B$2:$B$200),"Uncategorized"))</f>
        <v/>
      </c>
      <c r="E799" s="3" t="str">
        <f aca="false">IF($B799="","",IF($C799&gt;=0,"Income","Expense"))</f>
        <v/>
      </c>
      <c r="F799" s="3" t="str">
        <f aca="false">IF($B799="","",IFERROR(LOOKUP(2^15,SEARCH(Rules!$A$2:$A$200&amp;"",$B799)/(Rules!$A$2:$A$200&lt;&gt;""),Rules!$A$2:$A$200),""))</f>
        <v/>
      </c>
      <c r="G799" s="3" t="str">
        <f aca="false">IF($B799="","",IF(D799="Uncategorized","⚠ Review",IF(IFERROR(LOOKUP(2^15,SEARCH(Rules!$A$2:$A$200&amp;"",$B799)/(Rules!$A$2:$A$200&lt;&gt;""),Rules!$C$2:$C$200),"")&lt;&gt;E799,"⚠ Check sign","OK")))</f>
        <v/>
      </c>
    </row>
    <row r="800" customFormat="false" ht="15" hidden="false" customHeight="false" outlineLevel="0" collapsed="false">
      <c r="A800" s="3"/>
      <c r="B800" s="3"/>
      <c r="C800" s="3"/>
      <c r="D800" s="3" t="str">
        <f aca="false">IF($B800="","",IFERROR(LOOKUP(2^15,SEARCH(Rules!$A$2:$A$200&amp;"",$B800)/(Rules!$A$2:$A$200&lt;&gt;""),Rules!$B$2:$B$200),"Uncategorized"))</f>
        <v/>
      </c>
      <c r="E800" s="3" t="str">
        <f aca="false">IF($B800="","",IF($C800&gt;=0,"Income","Expense"))</f>
        <v/>
      </c>
      <c r="F800" s="3" t="str">
        <f aca="false">IF($B800="","",IFERROR(LOOKUP(2^15,SEARCH(Rules!$A$2:$A$200&amp;"",$B800)/(Rules!$A$2:$A$200&lt;&gt;""),Rules!$A$2:$A$200),""))</f>
        <v/>
      </c>
      <c r="G800" s="3" t="str">
        <f aca="false">IF($B800="","",IF(D800="Uncategorized","⚠ Review",IF(IFERROR(LOOKUP(2^15,SEARCH(Rules!$A$2:$A$200&amp;"",$B800)/(Rules!$A$2:$A$200&lt;&gt;""),Rules!$C$2:$C$200),"")&lt;&gt;E800,"⚠ Check sign","OK")))</f>
        <v/>
      </c>
    </row>
    <row r="801" customFormat="false" ht="15" hidden="false" customHeight="false" outlineLevel="0" collapsed="false">
      <c r="A801" s="3"/>
      <c r="B801" s="3"/>
      <c r="C801" s="3"/>
      <c r="D801" s="3" t="str">
        <f aca="false">IF($B801="","",IFERROR(LOOKUP(2^15,SEARCH(Rules!$A$2:$A$200&amp;"",$B801)/(Rules!$A$2:$A$200&lt;&gt;""),Rules!$B$2:$B$200),"Uncategorized"))</f>
        <v/>
      </c>
      <c r="E801" s="3" t="str">
        <f aca="false">IF($B801="","",IF($C801&gt;=0,"Income","Expense"))</f>
        <v/>
      </c>
      <c r="F801" s="3" t="str">
        <f aca="false">IF($B801="","",IFERROR(LOOKUP(2^15,SEARCH(Rules!$A$2:$A$200&amp;"",$B801)/(Rules!$A$2:$A$200&lt;&gt;""),Rules!$A$2:$A$200),""))</f>
        <v/>
      </c>
      <c r="G801" s="3" t="str">
        <f aca="false">IF($B801="","",IF(D801="Uncategorized","⚠ Review",IF(IFERROR(LOOKUP(2^15,SEARCH(Rules!$A$2:$A$200&amp;"",$B801)/(Rules!$A$2:$A$200&lt;&gt;""),Rules!$C$2:$C$200),"")&lt;&gt;E801,"⚠ Check sign","OK")))</f>
        <v/>
      </c>
    </row>
    <row r="802" customFormat="false" ht="15" hidden="false" customHeight="false" outlineLevel="0" collapsed="false">
      <c r="A802" s="3"/>
      <c r="B802" s="3"/>
      <c r="C802" s="3"/>
      <c r="D802" s="3" t="str">
        <f aca="false">IF($B802="","",IFERROR(LOOKUP(2^15,SEARCH(Rules!$A$2:$A$200&amp;"",$B802)/(Rules!$A$2:$A$200&lt;&gt;""),Rules!$B$2:$B$200),"Uncategorized"))</f>
        <v/>
      </c>
      <c r="E802" s="3" t="str">
        <f aca="false">IF($B802="","",IF($C802&gt;=0,"Income","Expense"))</f>
        <v/>
      </c>
      <c r="F802" s="3" t="str">
        <f aca="false">IF($B802="","",IFERROR(LOOKUP(2^15,SEARCH(Rules!$A$2:$A$200&amp;"",$B802)/(Rules!$A$2:$A$200&lt;&gt;""),Rules!$A$2:$A$200),""))</f>
        <v/>
      </c>
      <c r="G802" s="3" t="str">
        <f aca="false">IF($B802="","",IF(D802="Uncategorized","⚠ Review",IF(IFERROR(LOOKUP(2^15,SEARCH(Rules!$A$2:$A$200&amp;"",$B802)/(Rules!$A$2:$A$200&lt;&gt;""),Rules!$C$2:$C$200),"")&lt;&gt;E802,"⚠ Check sign","OK")))</f>
        <v/>
      </c>
    </row>
    <row r="803" customFormat="false" ht="15" hidden="false" customHeight="false" outlineLevel="0" collapsed="false">
      <c r="A803" s="3"/>
      <c r="B803" s="3"/>
      <c r="C803" s="3"/>
      <c r="D803" s="3" t="str">
        <f aca="false">IF($B803="","",IFERROR(LOOKUP(2^15,SEARCH(Rules!$A$2:$A$200&amp;"",$B803)/(Rules!$A$2:$A$200&lt;&gt;""),Rules!$B$2:$B$200),"Uncategorized"))</f>
        <v/>
      </c>
      <c r="E803" s="3" t="str">
        <f aca="false">IF($B803="","",IF($C803&gt;=0,"Income","Expense"))</f>
        <v/>
      </c>
      <c r="F803" s="3" t="str">
        <f aca="false">IF($B803="","",IFERROR(LOOKUP(2^15,SEARCH(Rules!$A$2:$A$200&amp;"",$B803)/(Rules!$A$2:$A$200&lt;&gt;""),Rules!$A$2:$A$200),""))</f>
        <v/>
      </c>
      <c r="G803" s="3" t="str">
        <f aca="false">IF($B803="","",IF(D803="Uncategorized","⚠ Review",IF(IFERROR(LOOKUP(2^15,SEARCH(Rules!$A$2:$A$200&amp;"",$B803)/(Rules!$A$2:$A$200&lt;&gt;""),Rules!$C$2:$C$200),"")&lt;&gt;E803,"⚠ Check sign","OK")))</f>
        <v/>
      </c>
    </row>
    <row r="804" customFormat="false" ht="15" hidden="false" customHeight="false" outlineLevel="0" collapsed="false">
      <c r="A804" s="3"/>
      <c r="B804" s="3"/>
      <c r="C804" s="3"/>
      <c r="D804" s="3" t="str">
        <f aca="false">IF($B804="","",IFERROR(LOOKUP(2^15,SEARCH(Rules!$A$2:$A$200&amp;"",$B804)/(Rules!$A$2:$A$200&lt;&gt;""),Rules!$B$2:$B$200),"Uncategorized"))</f>
        <v/>
      </c>
      <c r="E804" s="3" t="str">
        <f aca="false">IF($B804="","",IF($C804&gt;=0,"Income","Expense"))</f>
        <v/>
      </c>
      <c r="F804" s="3" t="str">
        <f aca="false">IF($B804="","",IFERROR(LOOKUP(2^15,SEARCH(Rules!$A$2:$A$200&amp;"",$B804)/(Rules!$A$2:$A$200&lt;&gt;""),Rules!$A$2:$A$200),""))</f>
        <v/>
      </c>
      <c r="G804" s="3" t="str">
        <f aca="false">IF($B804="","",IF(D804="Uncategorized","⚠ Review",IF(IFERROR(LOOKUP(2^15,SEARCH(Rules!$A$2:$A$200&amp;"",$B804)/(Rules!$A$2:$A$200&lt;&gt;""),Rules!$C$2:$C$200),"")&lt;&gt;E804,"⚠ Check sign","OK")))</f>
        <v/>
      </c>
    </row>
    <row r="805" customFormat="false" ht="15" hidden="false" customHeight="false" outlineLevel="0" collapsed="false">
      <c r="A805" s="3"/>
      <c r="B805" s="3"/>
      <c r="C805" s="3"/>
      <c r="D805" s="3" t="str">
        <f aca="false">IF($B805="","",IFERROR(LOOKUP(2^15,SEARCH(Rules!$A$2:$A$200&amp;"",$B805)/(Rules!$A$2:$A$200&lt;&gt;""),Rules!$B$2:$B$200),"Uncategorized"))</f>
        <v/>
      </c>
      <c r="E805" s="3" t="str">
        <f aca="false">IF($B805="","",IF($C805&gt;=0,"Income","Expense"))</f>
        <v/>
      </c>
      <c r="F805" s="3" t="str">
        <f aca="false">IF($B805="","",IFERROR(LOOKUP(2^15,SEARCH(Rules!$A$2:$A$200&amp;"",$B805)/(Rules!$A$2:$A$200&lt;&gt;""),Rules!$A$2:$A$200),""))</f>
        <v/>
      </c>
      <c r="G805" s="3" t="str">
        <f aca="false">IF($B805="","",IF(D805="Uncategorized","⚠ Review",IF(IFERROR(LOOKUP(2^15,SEARCH(Rules!$A$2:$A$200&amp;"",$B805)/(Rules!$A$2:$A$200&lt;&gt;""),Rules!$C$2:$C$200),"")&lt;&gt;E805,"⚠ Check sign","OK")))</f>
        <v/>
      </c>
    </row>
    <row r="806" customFormat="false" ht="15" hidden="false" customHeight="false" outlineLevel="0" collapsed="false">
      <c r="A806" s="3"/>
      <c r="B806" s="3"/>
      <c r="C806" s="3"/>
      <c r="D806" s="3" t="str">
        <f aca="false">IF($B806="","",IFERROR(LOOKUP(2^15,SEARCH(Rules!$A$2:$A$200&amp;"",$B806)/(Rules!$A$2:$A$200&lt;&gt;""),Rules!$B$2:$B$200),"Uncategorized"))</f>
        <v/>
      </c>
      <c r="E806" s="3" t="str">
        <f aca="false">IF($B806="","",IF($C806&gt;=0,"Income","Expense"))</f>
        <v/>
      </c>
      <c r="F806" s="3" t="str">
        <f aca="false">IF($B806="","",IFERROR(LOOKUP(2^15,SEARCH(Rules!$A$2:$A$200&amp;"",$B806)/(Rules!$A$2:$A$200&lt;&gt;""),Rules!$A$2:$A$200),""))</f>
        <v/>
      </c>
      <c r="G806" s="3" t="str">
        <f aca="false">IF($B806="","",IF(D806="Uncategorized","⚠ Review",IF(IFERROR(LOOKUP(2^15,SEARCH(Rules!$A$2:$A$200&amp;"",$B806)/(Rules!$A$2:$A$200&lt;&gt;""),Rules!$C$2:$C$200),"")&lt;&gt;E806,"⚠ Check sign","OK")))</f>
        <v/>
      </c>
    </row>
    <row r="807" customFormat="false" ht="15" hidden="false" customHeight="false" outlineLevel="0" collapsed="false">
      <c r="A807" s="3"/>
      <c r="B807" s="3"/>
      <c r="C807" s="3"/>
      <c r="D807" s="3" t="str">
        <f aca="false">IF($B807="","",IFERROR(LOOKUP(2^15,SEARCH(Rules!$A$2:$A$200&amp;"",$B807)/(Rules!$A$2:$A$200&lt;&gt;""),Rules!$B$2:$B$200),"Uncategorized"))</f>
        <v/>
      </c>
      <c r="E807" s="3" t="str">
        <f aca="false">IF($B807="","",IF($C807&gt;=0,"Income","Expense"))</f>
        <v/>
      </c>
      <c r="F807" s="3" t="str">
        <f aca="false">IF($B807="","",IFERROR(LOOKUP(2^15,SEARCH(Rules!$A$2:$A$200&amp;"",$B807)/(Rules!$A$2:$A$200&lt;&gt;""),Rules!$A$2:$A$200),""))</f>
        <v/>
      </c>
      <c r="G807" s="3" t="str">
        <f aca="false">IF($B807="","",IF(D807="Uncategorized","⚠ Review",IF(IFERROR(LOOKUP(2^15,SEARCH(Rules!$A$2:$A$200&amp;"",$B807)/(Rules!$A$2:$A$200&lt;&gt;""),Rules!$C$2:$C$200),"")&lt;&gt;E807,"⚠ Check sign","OK")))</f>
        <v/>
      </c>
    </row>
    <row r="808" customFormat="false" ht="15" hidden="false" customHeight="false" outlineLevel="0" collapsed="false">
      <c r="A808" s="3"/>
      <c r="B808" s="3"/>
      <c r="C808" s="3"/>
      <c r="D808" s="3" t="str">
        <f aca="false">IF($B808="","",IFERROR(LOOKUP(2^15,SEARCH(Rules!$A$2:$A$200&amp;"",$B808)/(Rules!$A$2:$A$200&lt;&gt;""),Rules!$B$2:$B$200),"Uncategorized"))</f>
        <v/>
      </c>
      <c r="E808" s="3" t="str">
        <f aca="false">IF($B808="","",IF($C808&gt;=0,"Income","Expense"))</f>
        <v/>
      </c>
      <c r="F808" s="3" t="str">
        <f aca="false">IF($B808="","",IFERROR(LOOKUP(2^15,SEARCH(Rules!$A$2:$A$200&amp;"",$B808)/(Rules!$A$2:$A$200&lt;&gt;""),Rules!$A$2:$A$200),""))</f>
        <v/>
      </c>
      <c r="G808" s="3" t="str">
        <f aca="false">IF($B808="","",IF(D808="Uncategorized","⚠ Review",IF(IFERROR(LOOKUP(2^15,SEARCH(Rules!$A$2:$A$200&amp;"",$B808)/(Rules!$A$2:$A$200&lt;&gt;""),Rules!$C$2:$C$200),"")&lt;&gt;E808,"⚠ Check sign","OK")))</f>
        <v/>
      </c>
    </row>
    <row r="809" customFormat="false" ht="15" hidden="false" customHeight="false" outlineLevel="0" collapsed="false">
      <c r="A809" s="3"/>
      <c r="B809" s="3"/>
      <c r="C809" s="3"/>
      <c r="D809" s="3" t="str">
        <f aca="false">IF($B809="","",IFERROR(LOOKUP(2^15,SEARCH(Rules!$A$2:$A$200&amp;"",$B809)/(Rules!$A$2:$A$200&lt;&gt;""),Rules!$B$2:$B$200),"Uncategorized"))</f>
        <v/>
      </c>
      <c r="E809" s="3" t="str">
        <f aca="false">IF($B809="","",IF($C809&gt;=0,"Income","Expense"))</f>
        <v/>
      </c>
      <c r="F809" s="3" t="str">
        <f aca="false">IF($B809="","",IFERROR(LOOKUP(2^15,SEARCH(Rules!$A$2:$A$200&amp;"",$B809)/(Rules!$A$2:$A$200&lt;&gt;""),Rules!$A$2:$A$200),""))</f>
        <v/>
      </c>
      <c r="G809" s="3" t="str">
        <f aca="false">IF($B809="","",IF(D809="Uncategorized","⚠ Review",IF(IFERROR(LOOKUP(2^15,SEARCH(Rules!$A$2:$A$200&amp;"",$B809)/(Rules!$A$2:$A$200&lt;&gt;""),Rules!$C$2:$C$200),"")&lt;&gt;E809,"⚠ Check sign","OK")))</f>
        <v/>
      </c>
    </row>
    <row r="810" customFormat="false" ht="15" hidden="false" customHeight="false" outlineLevel="0" collapsed="false">
      <c r="A810" s="3"/>
      <c r="B810" s="3"/>
      <c r="C810" s="3"/>
      <c r="D810" s="3" t="str">
        <f aca="false">IF($B810="","",IFERROR(LOOKUP(2^15,SEARCH(Rules!$A$2:$A$200&amp;"",$B810)/(Rules!$A$2:$A$200&lt;&gt;""),Rules!$B$2:$B$200),"Uncategorized"))</f>
        <v/>
      </c>
      <c r="E810" s="3" t="str">
        <f aca="false">IF($B810="","",IF($C810&gt;=0,"Income","Expense"))</f>
        <v/>
      </c>
      <c r="F810" s="3" t="str">
        <f aca="false">IF($B810="","",IFERROR(LOOKUP(2^15,SEARCH(Rules!$A$2:$A$200&amp;"",$B810)/(Rules!$A$2:$A$200&lt;&gt;""),Rules!$A$2:$A$200),""))</f>
        <v/>
      </c>
      <c r="G810" s="3" t="str">
        <f aca="false">IF($B810="","",IF(D810="Uncategorized","⚠ Review",IF(IFERROR(LOOKUP(2^15,SEARCH(Rules!$A$2:$A$200&amp;"",$B810)/(Rules!$A$2:$A$200&lt;&gt;""),Rules!$C$2:$C$200),"")&lt;&gt;E810,"⚠ Check sign","OK")))</f>
        <v/>
      </c>
    </row>
    <row r="811" customFormat="false" ht="15" hidden="false" customHeight="false" outlineLevel="0" collapsed="false">
      <c r="A811" s="3"/>
      <c r="B811" s="3"/>
      <c r="C811" s="3"/>
      <c r="D811" s="3" t="str">
        <f aca="false">IF($B811="","",IFERROR(LOOKUP(2^15,SEARCH(Rules!$A$2:$A$200&amp;"",$B811)/(Rules!$A$2:$A$200&lt;&gt;""),Rules!$B$2:$B$200),"Uncategorized"))</f>
        <v/>
      </c>
      <c r="E811" s="3" t="str">
        <f aca="false">IF($B811="","",IF($C811&gt;=0,"Income","Expense"))</f>
        <v/>
      </c>
      <c r="F811" s="3" t="str">
        <f aca="false">IF($B811="","",IFERROR(LOOKUP(2^15,SEARCH(Rules!$A$2:$A$200&amp;"",$B811)/(Rules!$A$2:$A$200&lt;&gt;""),Rules!$A$2:$A$200),""))</f>
        <v/>
      </c>
      <c r="G811" s="3" t="str">
        <f aca="false">IF($B811="","",IF(D811="Uncategorized","⚠ Review",IF(IFERROR(LOOKUP(2^15,SEARCH(Rules!$A$2:$A$200&amp;"",$B811)/(Rules!$A$2:$A$200&lt;&gt;""),Rules!$C$2:$C$200),"")&lt;&gt;E811,"⚠ Check sign","OK")))</f>
        <v/>
      </c>
    </row>
    <row r="812" customFormat="false" ht="15" hidden="false" customHeight="false" outlineLevel="0" collapsed="false">
      <c r="A812" s="3"/>
      <c r="B812" s="3"/>
      <c r="C812" s="3"/>
      <c r="D812" s="3" t="str">
        <f aca="false">IF($B812="","",IFERROR(LOOKUP(2^15,SEARCH(Rules!$A$2:$A$200&amp;"",$B812)/(Rules!$A$2:$A$200&lt;&gt;""),Rules!$B$2:$B$200),"Uncategorized"))</f>
        <v/>
      </c>
      <c r="E812" s="3" t="str">
        <f aca="false">IF($B812="","",IF($C812&gt;=0,"Income","Expense"))</f>
        <v/>
      </c>
      <c r="F812" s="3" t="str">
        <f aca="false">IF($B812="","",IFERROR(LOOKUP(2^15,SEARCH(Rules!$A$2:$A$200&amp;"",$B812)/(Rules!$A$2:$A$200&lt;&gt;""),Rules!$A$2:$A$200),""))</f>
        <v/>
      </c>
      <c r="G812" s="3" t="str">
        <f aca="false">IF($B812="","",IF(D812="Uncategorized","⚠ Review",IF(IFERROR(LOOKUP(2^15,SEARCH(Rules!$A$2:$A$200&amp;"",$B812)/(Rules!$A$2:$A$200&lt;&gt;""),Rules!$C$2:$C$200),"")&lt;&gt;E812,"⚠ Check sign","OK")))</f>
        <v/>
      </c>
    </row>
    <row r="813" customFormat="false" ht="15" hidden="false" customHeight="false" outlineLevel="0" collapsed="false">
      <c r="A813" s="3"/>
      <c r="B813" s="3"/>
      <c r="C813" s="3"/>
      <c r="D813" s="3" t="str">
        <f aca="false">IF($B813="","",IFERROR(LOOKUP(2^15,SEARCH(Rules!$A$2:$A$200&amp;"",$B813)/(Rules!$A$2:$A$200&lt;&gt;""),Rules!$B$2:$B$200),"Uncategorized"))</f>
        <v/>
      </c>
      <c r="E813" s="3" t="str">
        <f aca="false">IF($B813="","",IF($C813&gt;=0,"Income","Expense"))</f>
        <v/>
      </c>
      <c r="F813" s="3" t="str">
        <f aca="false">IF($B813="","",IFERROR(LOOKUP(2^15,SEARCH(Rules!$A$2:$A$200&amp;"",$B813)/(Rules!$A$2:$A$200&lt;&gt;""),Rules!$A$2:$A$200),""))</f>
        <v/>
      </c>
      <c r="G813" s="3" t="str">
        <f aca="false">IF($B813="","",IF(D813="Uncategorized","⚠ Review",IF(IFERROR(LOOKUP(2^15,SEARCH(Rules!$A$2:$A$200&amp;"",$B813)/(Rules!$A$2:$A$200&lt;&gt;""),Rules!$C$2:$C$200),"")&lt;&gt;E813,"⚠ Check sign","OK")))</f>
        <v/>
      </c>
    </row>
    <row r="814" customFormat="false" ht="15" hidden="false" customHeight="false" outlineLevel="0" collapsed="false">
      <c r="A814" s="3"/>
      <c r="B814" s="3"/>
      <c r="C814" s="3"/>
      <c r="D814" s="3" t="str">
        <f aca="false">IF($B814="","",IFERROR(LOOKUP(2^15,SEARCH(Rules!$A$2:$A$200&amp;"",$B814)/(Rules!$A$2:$A$200&lt;&gt;""),Rules!$B$2:$B$200),"Uncategorized"))</f>
        <v/>
      </c>
      <c r="E814" s="3" t="str">
        <f aca="false">IF($B814="","",IF($C814&gt;=0,"Income","Expense"))</f>
        <v/>
      </c>
      <c r="F814" s="3" t="str">
        <f aca="false">IF($B814="","",IFERROR(LOOKUP(2^15,SEARCH(Rules!$A$2:$A$200&amp;"",$B814)/(Rules!$A$2:$A$200&lt;&gt;""),Rules!$A$2:$A$200),""))</f>
        <v/>
      </c>
      <c r="G814" s="3" t="str">
        <f aca="false">IF($B814="","",IF(D814="Uncategorized","⚠ Review",IF(IFERROR(LOOKUP(2^15,SEARCH(Rules!$A$2:$A$200&amp;"",$B814)/(Rules!$A$2:$A$200&lt;&gt;""),Rules!$C$2:$C$200),"")&lt;&gt;E814,"⚠ Check sign","OK")))</f>
        <v/>
      </c>
    </row>
    <row r="815" customFormat="false" ht="15" hidden="false" customHeight="false" outlineLevel="0" collapsed="false">
      <c r="A815" s="3"/>
      <c r="B815" s="3"/>
      <c r="C815" s="3"/>
      <c r="D815" s="3" t="str">
        <f aca="false">IF($B815="","",IFERROR(LOOKUP(2^15,SEARCH(Rules!$A$2:$A$200&amp;"",$B815)/(Rules!$A$2:$A$200&lt;&gt;""),Rules!$B$2:$B$200),"Uncategorized"))</f>
        <v/>
      </c>
      <c r="E815" s="3" t="str">
        <f aca="false">IF($B815="","",IF($C815&gt;=0,"Income","Expense"))</f>
        <v/>
      </c>
      <c r="F815" s="3" t="str">
        <f aca="false">IF($B815="","",IFERROR(LOOKUP(2^15,SEARCH(Rules!$A$2:$A$200&amp;"",$B815)/(Rules!$A$2:$A$200&lt;&gt;""),Rules!$A$2:$A$200),""))</f>
        <v/>
      </c>
      <c r="G815" s="3" t="str">
        <f aca="false">IF($B815="","",IF(D815="Uncategorized","⚠ Review",IF(IFERROR(LOOKUP(2^15,SEARCH(Rules!$A$2:$A$200&amp;"",$B815)/(Rules!$A$2:$A$200&lt;&gt;""),Rules!$C$2:$C$200),"")&lt;&gt;E815,"⚠ Check sign","OK")))</f>
        <v/>
      </c>
    </row>
    <row r="816" customFormat="false" ht="15" hidden="false" customHeight="false" outlineLevel="0" collapsed="false">
      <c r="A816" s="3"/>
      <c r="B816" s="3"/>
      <c r="C816" s="3"/>
      <c r="D816" s="3" t="str">
        <f aca="false">IF($B816="","",IFERROR(LOOKUP(2^15,SEARCH(Rules!$A$2:$A$200&amp;"",$B816)/(Rules!$A$2:$A$200&lt;&gt;""),Rules!$B$2:$B$200),"Uncategorized"))</f>
        <v/>
      </c>
      <c r="E816" s="3" t="str">
        <f aca="false">IF($B816="","",IF($C816&gt;=0,"Income","Expense"))</f>
        <v/>
      </c>
      <c r="F816" s="3" t="str">
        <f aca="false">IF($B816="","",IFERROR(LOOKUP(2^15,SEARCH(Rules!$A$2:$A$200&amp;"",$B816)/(Rules!$A$2:$A$200&lt;&gt;""),Rules!$A$2:$A$200),""))</f>
        <v/>
      </c>
      <c r="G816" s="3" t="str">
        <f aca="false">IF($B816="","",IF(D816="Uncategorized","⚠ Review",IF(IFERROR(LOOKUP(2^15,SEARCH(Rules!$A$2:$A$200&amp;"",$B816)/(Rules!$A$2:$A$200&lt;&gt;""),Rules!$C$2:$C$200),"")&lt;&gt;E816,"⚠ Check sign","OK")))</f>
        <v/>
      </c>
    </row>
    <row r="817" customFormat="false" ht="15" hidden="false" customHeight="false" outlineLevel="0" collapsed="false">
      <c r="A817" s="3"/>
      <c r="B817" s="3"/>
      <c r="C817" s="3"/>
      <c r="D817" s="3" t="str">
        <f aca="false">IF($B817="","",IFERROR(LOOKUP(2^15,SEARCH(Rules!$A$2:$A$200&amp;"",$B817)/(Rules!$A$2:$A$200&lt;&gt;""),Rules!$B$2:$B$200),"Uncategorized"))</f>
        <v/>
      </c>
      <c r="E817" s="3" t="str">
        <f aca="false">IF($B817="","",IF($C817&gt;=0,"Income","Expense"))</f>
        <v/>
      </c>
      <c r="F817" s="3" t="str">
        <f aca="false">IF($B817="","",IFERROR(LOOKUP(2^15,SEARCH(Rules!$A$2:$A$200&amp;"",$B817)/(Rules!$A$2:$A$200&lt;&gt;""),Rules!$A$2:$A$200),""))</f>
        <v/>
      </c>
      <c r="G817" s="3" t="str">
        <f aca="false">IF($B817="","",IF(D817="Uncategorized","⚠ Review",IF(IFERROR(LOOKUP(2^15,SEARCH(Rules!$A$2:$A$200&amp;"",$B817)/(Rules!$A$2:$A$200&lt;&gt;""),Rules!$C$2:$C$200),"")&lt;&gt;E817,"⚠ Check sign","OK")))</f>
        <v/>
      </c>
    </row>
    <row r="818" customFormat="false" ht="15" hidden="false" customHeight="false" outlineLevel="0" collapsed="false">
      <c r="A818" s="3"/>
      <c r="B818" s="3"/>
      <c r="C818" s="3"/>
      <c r="D818" s="3" t="str">
        <f aca="false">IF($B818="","",IFERROR(LOOKUP(2^15,SEARCH(Rules!$A$2:$A$200&amp;"",$B818)/(Rules!$A$2:$A$200&lt;&gt;""),Rules!$B$2:$B$200),"Uncategorized"))</f>
        <v/>
      </c>
      <c r="E818" s="3" t="str">
        <f aca="false">IF($B818="","",IF($C818&gt;=0,"Income","Expense"))</f>
        <v/>
      </c>
      <c r="F818" s="3" t="str">
        <f aca="false">IF($B818="","",IFERROR(LOOKUP(2^15,SEARCH(Rules!$A$2:$A$200&amp;"",$B818)/(Rules!$A$2:$A$200&lt;&gt;""),Rules!$A$2:$A$200),""))</f>
        <v/>
      </c>
      <c r="G818" s="3" t="str">
        <f aca="false">IF($B818="","",IF(D818="Uncategorized","⚠ Review",IF(IFERROR(LOOKUP(2^15,SEARCH(Rules!$A$2:$A$200&amp;"",$B818)/(Rules!$A$2:$A$200&lt;&gt;""),Rules!$C$2:$C$200),"")&lt;&gt;E818,"⚠ Check sign","OK")))</f>
        <v/>
      </c>
    </row>
    <row r="819" customFormat="false" ht="15" hidden="false" customHeight="false" outlineLevel="0" collapsed="false">
      <c r="A819" s="3"/>
      <c r="B819" s="3"/>
      <c r="C819" s="3"/>
      <c r="D819" s="3" t="str">
        <f aca="false">IF($B819="","",IFERROR(LOOKUP(2^15,SEARCH(Rules!$A$2:$A$200&amp;"",$B819)/(Rules!$A$2:$A$200&lt;&gt;""),Rules!$B$2:$B$200),"Uncategorized"))</f>
        <v/>
      </c>
      <c r="E819" s="3" t="str">
        <f aca="false">IF($B819="","",IF($C819&gt;=0,"Income","Expense"))</f>
        <v/>
      </c>
      <c r="F819" s="3" t="str">
        <f aca="false">IF($B819="","",IFERROR(LOOKUP(2^15,SEARCH(Rules!$A$2:$A$200&amp;"",$B819)/(Rules!$A$2:$A$200&lt;&gt;""),Rules!$A$2:$A$200),""))</f>
        <v/>
      </c>
      <c r="G819" s="3" t="str">
        <f aca="false">IF($B819="","",IF(D819="Uncategorized","⚠ Review",IF(IFERROR(LOOKUP(2^15,SEARCH(Rules!$A$2:$A$200&amp;"",$B819)/(Rules!$A$2:$A$200&lt;&gt;""),Rules!$C$2:$C$200),"")&lt;&gt;E819,"⚠ Check sign","OK")))</f>
        <v/>
      </c>
    </row>
    <row r="820" customFormat="false" ht="15" hidden="false" customHeight="false" outlineLevel="0" collapsed="false">
      <c r="A820" s="3"/>
      <c r="B820" s="3"/>
      <c r="C820" s="3"/>
      <c r="D820" s="3" t="str">
        <f aca="false">IF($B820="","",IFERROR(LOOKUP(2^15,SEARCH(Rules!$A$2:$A$200&amp;"",$B820)/(Rules!$A$2:$A$200&lt;&gt;""),Rules!$B$2:$B$200),"Uncategorized"))</f>
        <v/>
      </c>
      <c r="E820" s="3" t="str">
        <f aca="false">IF($B820="","",IF($C820&gt;=0,"Income","Expense"))</f>
        <v/>
      </c>
      <c r="F820" s="3" t="str">
        <f aca="false">IF($B820="","",IFERROR(LOOKUP(2^15,SEARCH(Rules!$A$2:$A$200&amp;"",$B820)/(Rules!$A$2:$A$200&lt;&gt;""),Rules!$A$2:$A$200),""))</f>
        <v/>
      </c>
      <c r="G820" s="3" t="str">
        <f aca="false">IF($B820="","",IF(D820="Uncategorized","⚠ Review",IF(IFERROR(LOOKUP(2^15,SEARCH(Rules!$A$2:$A$200&amp;"",$B820)/(Rules!$A$2:$A$200&lt;&gt;""),Rules!$C$2:$C$200),"")&lt;&gt;E820,"⚠ Check sign","OK")))</f>
        <v/>
      </c>
    </row>
    <row r="821" customFormat="false" ht="15" hidden="false" customHeight="false" outlineLevel="0" collapsed="false">
      <c r="A821" s="3"/>
      <c r="B821" s="3"/>
      <c r="C821" s="3"/>
      <c r="D821" s="3" t="str">
        <f aca="false">IF($B821="","",IFERROR(LOOKUP(2^15,SEARCH(Rules!$A$2:$A$200&amp;"",$B821)/(Rules!$A$2:$A$200&lt;&gt;""),Rules!$B$2:$B$200),"Uncategorized"))</f>
        <v/>
      </c>
      <c r="E821" s="3" t="str">
        <f aca="false">IF($B821="","",IF($C821&gt;=0,"Income","Expense"))</f>
        <v/>
      </c>
      <c r="F821" s="3" t="str">
        <f aca="false">IF($B821="","",IFERROR(LOOKUP(2^15,SEARCH(Rules!$A$2:$A$200&amp;"",$B821)/(Rules!$A$2:$A$200&lt;&gt;""),Rules!$A$2:$A$200),""))</f>
        <v/>
      </c>
      <c r="G821" s="3" t="str">
        <f aca="false">IF($B821="","",IF(D821="Uncategorized","⚠ Review",IF(IFERROR(LOOKUP(2^15,SEARCH(Rules!$A$2:$A$200&amp;"",$B821)/(Rules!$A$2:$A$200&lt;&gt;""),Rules!$C$2:$C$200),"")&lt;&gt;E821,"⚠ Check sign","OK")))</f>
        <v/>
      </c>
    </row>
    <row r="822" customFormat="false" ht="15" hidden="false" customHeight="false" outlineLevel="0" collapsed="false">
      <c r="A822" s="3"/>
      <c r="B822" s="3"/>
      <c r="C822" s="3"/>
      <c r="D822" s="3" t="str">
        <f aca="false">IF($B822="","",IFERROR(LOOKUP(2^15,SEARCH(Rules!$A$2:$A$200&amp;"",$B822)/(Rules!$A$2:$A$200&lt;&gt;""),Rules!$B$2:$B$200),"Uncategorized"))</f>
        <v/>
      </c>
      <c r="E822" s="3" t="str">
        <f aca="false">IF($B822="","",IF($C822&gt;=0,"Income","Expense"))</f>
        <v/>
      </c>
      <c r="F822" s="3" t="str">
        <f aca="false">IF($B822="","",IFERROR(LOOKUP(2^15,SEARCH(Rules!$A$2:$A$200&amp;"",$B822)/(Rules!$A$2:$A$200&lt;&gt;""),Rules!$A$2:$A$200),""))</f>
        <v/>
      </c>
      <c r="G822" s="3" t="str">
        <f aca="false">IF($B822="","",IF(D822="Uncategorized","⚠ Review",IF(IFERROR(LOOKUP(2^15,SEARCH(Rules!$A$2:$A$200&amp;"",$B822)/(Rules!$A$2:$A$200&lt;&gt;""),Rules!$C$2:$C$200),"")&lt;&gt;E822,"⚠ Check sign","OK")))</f>
        <v/>
      </c>
    </row>
    <row r="823" customFormat="false" ht="15" hidden="false" customHeight="false" outlineLevel="0" collapsed="false">
      <c r="A823" s="3"/>
      <c r="B823" s="3"/>
      <c r="C823" s="3"/>
      <c r="D823" s="3" t="str">
        <f aca="false">IF($B823="","",IFERROR(LOOKUP(2^15,SEARCH(Rules!$A$2:$A$200&amp;"",$B823)/(Rules!$A$2:$A$200&lt;&gt;""),Rules!$B$2:$B$200),"Uncategorized"))</f>
        <v/>
      </c>
      <c r="E823" s="3" t="str">
        <f aca="false">IF($B823="","",IF($C823&gt;=0,"Income","Expense"))</f>
        <v/>
      </c>
      <c r="F823" s="3" t="str">
        <f aca="false">IF($B823="","",IFERROR(LOOKUP(2^15,SEARCH(Rules!$A$2:$A$200&amp;"",$B823)/(Rules!$A$2:$A$200&lt;&gt;""),Rules!$A$2:$A$200),""))</f>
        <v/>
      </c>
      <c r="G823" s="3" t="str">
        <f aca="false">IF($B823="","",IF(D823="Uncategorized","⚠ Review",IF(IFERROR(LOOKUP(2^15,SEARCH(Rules!$A$2:$A$200&amp;"",$B823)/(Rules!$A$2:$A$200&lt;&gt;""),Rules!$C$2:$C$200),"")&lt;&gt;E823,"⚠ Check sign","OK")))</f>
        <v/>
      </c>
    </row>
    <row r="824" customFormat="false" ht="15" hidden="false" customHeight="false" outlineLevel="0" collapsed="false">
      <c r="A824" s="3"/>
      <c r="B824" s="3"/>
      <c r="C824" s="3"/>
      <c r="D824" s="3" t="str">
        <f aca="false">IF($B824="","",IFERROR(LOOKUP(2^15,SEARCH(Rules!$A$2:$A$200&amp;"",$B824)/(Rules!$A$2:$A$200&lt;&gt;""),Rules!$B$2:$B$200),"Uncategorized"))</f>
        <v/>
      </c>
      <c r="E824" s="3" t="str">
        <f aca="false">IF($B824="","",IF($C824&gt;=0,"Income","Expense"))</f>
        <v/>
      </c>
      <c r="F824" s="3" t="str">
        <f aca="false">IF($B824="","",IFERROR(LOOKUP(2^15,SEARCH(Rules!$A$2:$A$200&amp;"",$B824)/(Rules!$A$2:$A$200&lt;&gt;""),Rules!$A$2:$A$200),""))</f>
        <v/>
      </c>
      <c r="G824" s="3" t="str">
        <f aca="false">IF($B824="","",IF(D824="Uncategorized","⚠ Review",IF(IFERROR(LOOKUP(2^15,SEARCH(Rules!$A$2:$A$200&amp;"",$B824)/(Rules!$A$2:$A$200&lt;&gt;""),Rules!$C$2:$C$200),"")&lt;&gt;E824,"⚠ Check sign","OK")))</f>
        <v/>
      </c>
    </row>
    <row r="825" customFormat="false" ht="15" hidden="false" customHeight="false" outlineLevel="0" collapsed="false">
      <c r="A825" s="3"/>
      <c r="B825" s="3"/>
      <c r="C825" s="3"/>
      <c r="D825" s="3" t="str">
        <f aca="false">IF($B825="","",IFERROR(LOOKUP(2^15,SEARCH(Rules!$A$2:$A$200&amp;"",$B825)/(Rules!$A$2:$A$200&lt;&gt;""),Rules!$B$2:$B$200),"Uncategorized"))</f>
        <v/>
      </c>
      <c r="E825" s="3" t="str">
        <f aca="false">IF($B825="","",IF($C825&gt;=0,"Income","Expense"))</f>
        <v/>
      </c>
      <c r="F825" s="3" t="str">
        <f aca="false">IF($B825="","",IFERROR(LOOKUP(2^15,SEARCH(Rules!$A$2:$A$200&amp;"",$B825)/(Rules!$A$2:$A$200&lt;&gt;""),Rules!$A$2:$A$200),""))</f>
        <v/>
      </c>
      <c r="G825" s="3" t="str">
        <f aca="false">IF($B825="","",IF(D825="Uncategorized","⚠ Review",IF(IFERROR(LOOKUP(2^15,SEARCH(Rules!$A$2:$A$200&amp;"",$B825)/(Rules!$A$2:$A$200&lt;&gt;""),Rules!$C$2:$C$200),"")&lt;&gt;E825,"⚠ Check sign","OK")))</f>
        <v/>
      </c>
    </row>
    <row r="826" customFormat="false" ht="15" hidden="false" customHeight="false" outlineLevel="0" collapsed="false">
      <c r="A826" s="3"/>
      <c r="B826" s="3"/>
      <c r="C826" s="3"/>
      <c r="D826" s="3" t="str">
        <f aca="false">IF($B826="","",IFERROR(LOOKUP(2^15,SEARCH(Rules!$A$2:$A$200&amp;"",$B826)/(Rules!$A$2:$A$200&lt;&gt;""),Rules!$B$2:$B$200),"Uncategorized"))</f>
        <v/>
      </c>
      <c r="E826" s="3" t="str">
        <f aca="false">IF($B826="","",IF($C826&gt;=0,"Income","Expense"))</f>
        <v/>
      </c>
      <c r="F826" s="3" t="str">
        <f aca="false">IF($B826="","",IFERROR(LOOKUP(2^15,SEARCH(Rules!$A$2:$A$200&amp;"",$B826)/(Rules!$A$2:$A$200&lt;&gt;""),Rules!$A$2:$A$200),""))</f>
        <v/>
      </c>
      <c r="G826" s="3" t="str">
        <f aca="false">IF($B826="","",IF(D826="Uncategorized","⚠ Review",IF(IFERROR(LOOKUP(2^15,SEARCH(Rules!$A$2:$A$200&amp;"",$B826)/(Rules!$A$2:$A$200&lt;&gt;""),Rules!$C$2:$C$200),"")&lt;&gt;E826,"⚠ Check sign","OK")))</f>
        <v/>
      </c>
    </row>
    <row r="827" customFormat="false" ht="15" hidden="false" customHeight="false" outlineLevel="0" collapsed="false">
      <c r="A827" s="3"/>
      <c r="B827" s="3"/>
      <c r="C827" s="3"/>
      <c r="D827" s="3" t="str">
        <f aca="false">IF($B827="","",IFERROR(LOOKUP(2^15,SEARCH(Rules!$A$2:$A$200&amp;"",$B827)/(Rules!$A$2:$A$200&lt;&gt;""),Rules!$B$2:$B$200),"Uncategorized"))</f>
        <v/>
      </c>
      <c r="E827" s="3" t="str">
        <f aca="false">IF($B827="","",IF($C827&gt;=0,"Income","Expense"))</f>
        <v/>
      </c>
      <c r="F827" s="3" t="str">
        <f aca="false">IF($B827="","",IFERROR(LOOKUP(2^15,SEARCH(Rules!$A$2:$A$200&amp;"",$B827)/(Rules!$A$2:$A$200&lt;&gt;""),Rules!$A$2:$A$200),""))</f>
        <v/>
      </c>
      <c r="G827" s="3" t="str">
        <f aca="false">IF($B827="","",IF(D827="Uncategorized","⚠ Review",IF(IFERROR(LOOKUP(2^15,SEARCH(Rules!$A$2:$A$200&amp;"",$B827)/(Rules!$A$2:$A$200&lt;&gt;""),Rules!$C$2:$C$200),"")&lt;&gt;E827,"⚠ Check sign","OK")))</f>
        <v/>
      </c>
    </row>
    <row r="828" customFormat="false" ht="15" hidden="false" customHeight="false" outlineLevel="0" collapsed="false">
      <c r="A828" s="3"/>
      <c r="B828" s="3"/>
      <c r="C828" s="3"/>
      <c r="D828" s="3" t="str">
        <f aca="false">IF($B828="","",IFERROR(LOOKUP(2^15,SEARCH(Rules!$A$2:$A$200&amp;"",$B828)/(Rules!$A$2:$A$200&lt;&gt;""),Rules!$B$2:$B$200),"Uncategorized"))</f>
        <v/>
      </c>
      <c r="E828" s="3" t="str">
        <f aca="false">IF($B828="","",IF($C828&gt;=0,"Income","Expense"))</f>
        <v/>
      </c>
      <c r="F828" s="3" t="str">
        <f aca="false">IF($B828="","",IFERROR(LOOKUP(2^15,SEARCH(Rules!$A$2:$A$200&amp;"",$B828)/(Rules!$A$2:$A$200&lt;&gt;""),Rules!$A$2:$A$200),""))</f>
        <v/>
      </c>
      <c r="G828" s="3" t="str">
        <f aca="false">IF($B828="","",IF(D828="Uncategorized","⚠ Review",IF(IFERROR(LOOKUP(2^15,SEARCH(Rules!$A$2:$A$200&amp;"",$B828)/(Rules!$A$2:$A$200&lt;&gt;""),Rules!$C$2:$C$200),"")&lt;&gt;E828,"⚠ Check sign","OK")))</f>
        <v/>
      </c>
    </row>
    <row r="829" customFormat="false" ht="15" hidden="false" customHeight="false" outlineLevel="0" collapsed="false">
      <c r="A829" s="3"/>
      <c r="B829" s="3"/>
      <c r="C829" s="3"/>
      <c r="D829" s="3" t="str">
        <f aca="false">IF($B829="","",IFERROR(LOOKUP(2^15,SEARCH(Rules!$A$2:$A$200&amp;"",$B829)/(Rules!$A$2:$A$200&lt;&gt;""),Rules!$B$2:$B$200),"Uncategorized"))</f>
        <v/>
      </c>
      <c r="E829" s="3" t="str">
        <f aca="false">IF($B829="","",IF($C829&gt;=0,"Income","Expense"))</f>
        <v/>
      </c>
      <c r="F829" s="3" t="str">
        <f aca="false">IF($B829="","",IFERROR(LOOKUP(2^15,SEARCH(Rules!$A$2:$A$200&amp;"",$B829)/(Rules!$A$2:$A$200&lt;&gt;""),Rules!$A$2:$A$200),""))</f>
        <v/>
      </c>
      <c r="G829" s="3" t="str">
        <f aca="false">IF($B829="","",IF(D829="Uncategorized","⚠ Review",IF(IFERROR(LOOKUP(2^15,SEARCH(Rules!$A$2:$A$200&amp;"",$B829)/(Rules!$A$2:$A$200&lt;&gt;""),Rules!$C$2:$C$200),"")&lt;&gt;E829,"⚠ Check sign","OK")))</f>
        <v/>
      </c>
    </row>
    <row r="830" customFormat="false" ht="15" hidden="false" customHeight="false" outlineLevel="0" collapsed="false">
      <c r="A830" s="3"/>
      <c r="B830" s="3"/>
      <c r="C830" s="3"/>
      <c r="D830" s="3" t="str">
        <f aca="false">IF($B830="","",IFERROR(LOOKUP(2^15,SEARCH(Rules!$A$2:$A$200&amp;"",$B830)/(Rules!$A$2:$A$200&lt;&gt;""),Rules!$B$2:$B$200),"Uncategorized"))</f>
        <v/>
      </c>
      <c r="E830" s="3" t="str">
        <f aca="false">IF($B830="","",IF($C830&gt;=0,"Income","Expense"))</f>
        <v/>
      </c>
      <c r="F830" s="3" t="str">
        <f aca="false">IF($B830="","",IFERROR(LOOKUP(2^15,SEARCH(Rules!$A$2:$A$200&amp;"",$B830)/(Rules!$A$2:$A$200&lt;&gt;""),Rules!$A$2:$A$200),""))</f>
        <v/>
      </c>
      <c r="G830" s="3" t="str">
        <f aca="false">IF($B830="","",IF(D830="Uncategorized","⚠ Review",IF(IFERROR(LOOKUP(2^15,SEARCH(Rules!$A$2:$A$200&amp;"",$B830)/(Rules!$A$2:$A$200&lt;&gt;""),Rules!$C$2:$C$200),"")&lt;&gt;E830,"⚠ Check sign","OK")))</f>
        <v/>
      </c>
    </row>
    <row r="831" customFormat="false" ht="15" hidden="false" customHeight="false" outlineLevel="0" collapsed="false">
      <c r="A831" s="3"/>
      <c r="B831" s="3"/>
      <c r="C831" s="3"/>
      <c r="D831" s="3" t="str">
        <f aca="false">IF($B831="","",IFERROR(LOOKUP(2^15,SEARCH(Rules!$A$2:$A$200&amp;"",$B831)/(Rules!$A$2:$A$200&lt;&gt;""),Rules!$B$2:$B$200),"Uncategorized"))</f>
        <v/>
      </c>
      <c r="E831" s="3" t="str">
        <f aca="false">IF($B831="","",IF($C831&gt;=0,"Income","Expense"))</f>
        <v/>
      </c>
      <c r="F831" s="3" t="str">
        <f aca="false">IF($B831="","",IFERROR(LOOKUP(2^15,SEARCH(Rules!$A$2:$A$200&amp;"",$B831)/(Rules!$A$2:$A$200&lt;&gt;""),Rules!$A$2:$A$200),""))</f>
        <v/>
      </c>
      <c r="G831" s="3" t="str">
        <f aca="false">IF($B831="","",IF(D831="Uncategorized","⚠ Review",IF(IFERROR(LOOKUP(2^15,SEARCH(Rules!$A$2:$A$200&amp;"",$B831)/(Rules!$A$2:$A$200&lt;&gt;""),Rules!$C$2:$C$200),"")&lt;&gt;E831,"⚠ Check sign","OK")))</f>
        <v/>
      </c>
    </row>
    <row r="832" customFormat="false" ht="15" hidden="false" customHeight="false" outlineLevel="0" collapsed="false">
      <c r="A832" s="3"/>
      <c r="B832" s="3"/>
      <c r="C832" s="3"/>
      <c r="D832" s="3" t="str">
        <f aca="false">IF($B832="","",IFERROR(LOOKUP(2^15,SEARCH(Rules!$A$2:$A$200&amp;"",$B832)/(Rules!$A$2:$A$200&lt;&gt;""),Rules!$B$2:$B$200),"Uncategorized"))</f>
        <v/>
      </c>
      <c r="E832" s="3" t="str">
        <f aca="false">IF($B832="","",IF($C832&gt;=0,"Income","Expense"))</f>
        <v/>
      </c>
      <c r="F832" s="3" t="str">
        <f aca="false">IF($B832="","",IFERROR(LOOKUP(2^15,SEARCH(Rules!$A$2:$A$200&amp;"",$B832)/(Rules!$A$2:$A$200&lt;&gt;""),Rules!$A$2:$A$200),""))</f>
        <v/>
      </c>
      <c r="G832" s="3" t="str">
        <f aca="false">IF($B832="","",IF(D832="Uncategorized","⚠ Review",IF(IFERROR(LOOKUP(2^15,SEARCH(Rules!$A$2:$A$200&amp;"",$B832)/(Rules!$A$2:$A$200&lt;&gt;""),Rules!$C$2:$C$200),"")&lt;&gt;E832,"⚠ Check sign","OK")))</f>
        <v/>
      </c>
    </row>
    <row r="833" customFormat="false" ht="15" hidden="false" customHeight="false" outlineLevel="0" collapsed="false">
      <c r="A833" s="3"/>
      <c r="B833" s="3"/>
      <c r="C833" s="3"/>
      <c r="D833" s="3" t="str">
        <f aca="false">IF($B833="","",IFERROR(LOOKUP(2^15,SEARCH(Rules!$A$2:$A$200&amp;"",$B833)/(Rules!$A$2:$A$200&lt;&gt;""),Rules!$B$2:$B$200),"Uncategorized"))</f>
        <v/>
      </c>
      <c r="E833" s="3" t="str">
        <f aca="false">IF($B833="","",IF($C833&gt;=0,"Income","Expense"))</f>
        <v/>
      </c>
      <c r="F833" s="3" t="str">
        <f aca="false">IF($B833="","",IFERROR(LOOKUP(2^15,SEARCH(Rules!$A$2:$A$200&amp;"",$B833)/(Rules!$A$2:$A$200&lt;&gt;""),Rules!$A$2:$A$200),""))</f>
        <v/>
      </c>
      <c r="G833" s="3" t="str">
        <f aca="false">IF($B833="","",IF(D833="Uncategorized","⚠ Review",IF(IFERROR(LOOKUP(2^15,SEARCH(Rules!$A$2:$A$200&amp;"",$B833)/(Rules!$A$2:$A$200&lt;&gt;""),Rules!$C$2:$C$200),"")&lt;&gt;E833,"⚠ Check sign","OK")))</f>
        <v/>
      </c>
    </row>
    <row r="834" customFormat="false" ht="15" hidden="false" customHeight="false" outlineLevel="0" collapsed="false">
      <c r="A834" s="3"/>
      <c r="B834" s="3"/>
      <c r="C834" s="3"/>
      <c r="D834" s="3" t="str">
        <f aca="false">IF($B834="","",IFERROR(LOOKUP(2^15,SEARCH(Rules!$A$2:$A$200&amp;"",$B834)/(Rules!$A$2:$A$200&lt;&gt;""),Rules!$B$2:$B$200),"Uncategorized"))</f>
        <v/>
      </c>
      <c r="E834" s="3" t="str">
        <f aca="false">IF($B834="","",IF($C834&gt;=0,"Income","Expense"))</f>
        <v/>
      </c>
      <c r="F834" s="3" t="str">
        <f aca="false">IF($B834="","",IFERROR(LOOKUP(2^15,SEARCH(Rules!$A$2:$A$200&amp;"",$B834)/(Rules!$A$2:$A$200&lt;&gt;""),Rules!$A$2:$A$200),""))</f>
        <v/>
      </c>
      <c r="G834" s="3" t="str">
        <f aca="false">IF($B834="","",IF(D834="Uncategorized","⚠ Review",IF(IFERROR(LOOKUP(2^15,SEARCH(Rules!$A$2:$A$200&amp;"",$B834)/(Rules!$A$2:$A$200&lt;&gt;""),Rules!$C$2:$C$200),"")&lt;&gt;E834,"⚠ Check sign","OK")))</f>
        <v/>
      </c>
    </row>
    <row r="835" customFormat="false" ht="15" hidden="false" customHeight="false" outlineLevel="0" collapsed="false">
      <c r="A835" s="3"/>
      <c r="B835" s="3"/>
      <c r="C835" s="3"/>
      <c r="D835" s="3" t="str">
        <f aca="false">IF($B835="","",IFERROR(LOOKUP(2^15,SEARCH(Rules!$A$2:$A$200&amp;"",$B835)/(Rules!$A$2:$A$200&lt;&gt;""),Rules!$B$2:$B$200),"Uncategorized"))</f>
        <v/>
      </c>
      <c r="E835" s="3" t="str">
        <f aca="false">IF($B835="","",IF($C835&gt;=0,"Income","Expense"))</f>
        <v/>
      </c>
      <c r="F835" s="3" t="str">
        <f aca="false">IF($B835="","",IFERROR(LOOKUP(2^15,SEARCH(Rules!$A$2:$A$200&amp;"",$B835)/(Rules!$A$2:$A$200&lt;&gt;""),Rules!$A$2:$A$200),""))</f>
        <v/>
      </c>
      <c r="G835" s="3" t="str">
        <f aca="false">IF($B835="","",IF(D835="Uncategorized","⚠ Review",IF(IFERROR(LOOKUP(2^15,SEARCH(Rules!$A$2:$A$200&amp;"",$B835)/(Rules!$A$2:$A$200&lt;&gt;""),Rules!$C$2:$C$200),"")&lt;&gt;E835,"⚠ Check sign","OK")))</f>
        <v/>
      </c>
    </row>
    <row r="836" customFormat="false" ht="15" hidden="false" customHeight="false" outlineLevel="0" collapsed="false">
      <c r="A836" s="3"/>
      <c r="B836" s="3"/>
      <c r="C836" s="3"/>
      <c r="D836" s="3" t="str">
        <f aca="false">IF($B836="","",IFERROR(LOOKUP(2^15,SEARCH(Rules!$A$2:$A$200&amp;"",$B836)/(Rules!$A$2:$A$200&lt;&gt;""),Rules!$B$2:$B$200),"Uncategorized"))</f>
        <v/>
      </c>
      <c r="E836" s="3" t="str">
        <f aca="false">IF($B836="","",IF($C836&gt;=0,"Income","Expense"))</f>
        <v/>
      </c>
      <c r="F836" s="3" t="str">
        <f aca="false">IF($B836="","",IFERROR(LOOKUP(2^15,SEARCH(Rules!$A$2:$A$200&amp;"",$B836)/(Rules!$A$2:$A$200&lt;&gt;""),Rules!$A$2:$A$200),""))</f>
        <v/>
      </c>
      <c r="G836" s="3" t="str">
        <f aca="false">IF($B836="","",IF(D836="Uncategorized","⚠ Review",IF(IFERROR(LOOKUP(2^15,SEARCH(Rules!$A$2:$A$200&amp;"",$B836)/(Rules!$A$2:$A$200&lt;&gt;""),Rules!$C$2:$C$200),"")&lt;&gt;E836,"⚠ Check sign","OK")))</f>
        <v/>
      </c>
    </row>
    <row r="837" customFormat="false" ht="15" hidden="false" customHeight="false" outlineLevel="0" collapsed="false">
      <c r="A837" s="3"/>
      <c r="B837" s="3"/>
      <c r="C837" s="3"/>
      <c r="D837" s="3" t="str">
        <f aca="false">IF($B837="","",IFERROR(LOOKUP(2^15,SEARCH(Rules!$A$2:$A$200&amp;"",$B837)/(Rules!$A$2:$A$200&lt;&gt;""),Rules!$B$2:$B$200),"Uncategorized"))</f>
        <v/>
      </c>
      <c r="E837" s="3" t="str">
        <f aca="false">IF($B837="","",IF($C837&gt;=0,"Income","Expense"))</f>
        <v/>
      </c>
      <c r="F837" s="3" t="str">
        <f aca="false">IF($B837="","",IFERROR(LOOKUP(2^15,SEARCH(Rules!$A$2:$A$200&amp;"",$B837)/(Rules!$A$2:$A$200&lt;&gt;""),Rules!$A$2:$A$200),""))</f>
        <v/>
      </c>
      <c r="G837" s="3" t="str">
        <f aca="false">IF($B837="","",IF(D837="Uncategorized","⚠ Review",IF(IFERROR(LOOKUP(2^15,SEARCH(Rules!$A$2:$A$200&amp;"",$B837)/(Rules!$A$2:$A$200&lt;&gt;""),Rules!$C$2:$C$200),"")&lt;&gt;E837,"⚠ Check sign","OK")))</f>
        <v/>
      </c>
    </row>
    <row r="838" customFormat="false" ht="15" hidden="false" customHeight="false" outlineLevel="0" collapsed="false">
      <c r="A838" s="3"/>
      <c r="B838" s="3"/>
      <c r="C838" s="3"/>
      <c r="D838" s="3" t="str">
        <f aca="false">IF($B838="","",IFERROR(LOOKUP(2^15,SEARCH(Rules!$A$2:$A$200&amp;"",$B838)/(Rules!$A$2:$A$200&lt;&gt;""),Rules!$B$2:$B$200),"Uncategorized"))</f>
        <v/>
      </c>
      <c r="E838" s="3" t="str">
        <f aca="false">IF($B838="","",IF($C838&gt;=0,"Income","Expense"))</f>
        <v/>
      </c>
      <c r="F838" s="3" t="str">
        <f aca="false">IF($B838="","",IFERROR(LOOKUP(2^15,SEARCH(Rules!$A$2:$A$200&amp;"",$B838)/(Rules!$A$2:$A$200&lt;&gt;""),Rules!$A$2:$A$200),""))</f>
        <v/>
      </c>
      <c r="G838" s="3" t="str">
        <f aca="false">IF($B838="","",IF(D838="Uncategorized","⚠ Review",IF(IFERROR(LOOKUP(2^15,SEARCH(Rules!$A$2:$A$200&amp;"",$B838)/(Rules!$A$2:$A$200&lt;&gt;""),Rules!$C$2:$C$200),"")&lt;&gt;E838,"⚠ Check sign","OK")))</f>
        <v/>
      </c>
    </row>
    <row r="839" customFormat="false" ht="15" hidden="false" customHeight="false" outlineLevel="0" collapsed="false">
      <c r="A839" s="3"/>
      <c r="B839" s="3"/>
      <c r="C839" s="3"/>
      <c r="D839" s="3" t="str">
        <f aca="false">IF($B839="","",IFERROR(LOOKUP(2^15,SEARCH(Rules!$A$2:$A$200&amp;"",$B839)/(Rules!$A$2:$A$200&lt;&gt;""),Rules!$B$2:$B$200),"Uncategorized"))</f>
        <v/>
      </c>
      <c r="E839" s="3" t="str">
        <f aca="false">IF($B839="","",IF($C839&gt;=0,"Income","Expense"))</f>
        <v/>
      </c>
      <c r="F839" s="3" t="str">
        <f aca="false">IF($B839="","",IFERROR(LOOKUP(2^15,SEARCH(Rules!$A$2:$A$200&amp;"",$B839)/(Rules!$A$2:$A$200&lt;&gt;""),Rules!$A$2:$A$200),""))</f>
        <v/>
      </c>
      <c r="G839" s="3" t="str">
        <f aca="false">IF($B839="","",IF(D839="Uncategorized","⚠ Review",IF(IFERROR(LOOKUP(2^15,SEARCH(Rules!$A$2:$A$200&amp;"",$B839)/(Rules!$A$2:$A$200&lt;&gt;""),Rules!$C$2:$C$200),"")&lt;&gt;E839,"⚠ Check sign","OK")))</f>
        <v/>
      </c>
    </row>
    <row r="840" customFormat="false" ht="15" hidden="false" customHeight="false" outlineLevel="0" collapsed="false">
      <c r="A840" s="3"/>
      <c r="B840" s="3"/>
      <c r="C840" s="3"/>
      <c r="D840" s="3" t="str">
        <f aca="false">IF($B840="","",IFERROR(LOOKUP(2^15,SEARCH(Rules!$A$2:$A$200&amp;"",$B840)/(Rules!$A$2:$A$200&lt;&gt;""),Rules!$B$2:$B$200),"Uncategorized"))</f>
        <v/>
      </c>
      <c r="E840" s="3" t="str">
        <f aca="false">IF($B840="","",IF($C840&gt;=0,"Income","Expense"))</f>
        <v/>
      </c>
      <c r="F840" s="3" t="str">
        <f aca="false">IF($B840="","",IFERROR(LOOKUP(2^15,SEARCH(Rules!$A$2:$A$200&amp;"",$B840)/(Rules!$A$2:$A$200&lt;&gt;""),Rules!$A$2:$A$200),""))</f>
        <v/>
      </c>
      <c r="G840" s="3" t="str">
        <f aca="false">IF($B840="","",IF(D840="Uncategorized","⚠ Review",IF(IFERROR(LOOKUP(2^15,SEARCH(Rules!$A$2:$A$200&amp;"",$B840)/(Rules!$A$2:$A$200&lt;&gt;""),Rules!$C$2:$C$200),"")&lt;&gt;E840,"⚠ Check sign","OK")))</f>
        <v/>
      </c>
    </row>
    <row r="841" customFormat="false" ht="15" hidden="false" customHeight="false" outlineLevel="0" collapsed="false">
      <c r="A841" s="3"/>
      <c r="B841" s="3"/>
      <c r="C841" s="3"/>
      <c r="D841" s="3" t="str">
        <f aca="false">IF($B841="","",IFERROR(LOOKUP(2^15,SEARCH(Rules!$A$2:$A$200&amp;"",$B841)/(Rules!$A$2:$A$200&lt;&gt;""),Rules!$B$2:$B$200),"Uncategorized"))</f>
        <v/>
      </c>
      <c r="E841" s="3" t="str">
        <f aca="false">IF($B841="","",IF($C841&gt;=0,"Income","Expense"))</f>
        <v/>
      </c>
      <c r="F841" s="3" t="str">
        <f aca="false">IF($B841="","",IFERROR(LOOKUP(2^15,SEARCH(Rules!$A$2:$A$200&amp;"",$B841)/(Rules!$A$2:$A$200&lt;&gt;""),Rules!$A$2:$A$200),""))</f>
        <v/>
      </c>
      <c r="G841" s="3" t="str">
        <f aca="false">IF($B841="","",IF(D841="Uncategorized","⚠ Review",IF(IFERROR(LOOKUP(2^15,SEARCH(Rules!$A$2:$A$200&amp;"",$B841)/(Rules!$A$2:$A$200&lt;&gt;""),Rules!$C$2:$C$200),"")&lt;&gt;E841,"⚠ Check sign","OK")))</f>
        <v/>
      </c>
    </row>
    <row r="842" customFormat="false" ht="15" hidden="false" customHeight="false" outlineLevel="0" collapsed="false">
      <c r="A842" s="3"/>
      <c r="B842" s="3"/>
      <c r="C842" s="3"/>
      <c r="D842" s="3" t="str">
        <f aca="false">IF($B842="","",IFERROR(LOOKUP(2^15,SEARCH(Rules!$A$2:$A$200&amp;"",$B842)/(Rules!$A$2:$A$200&lt;&gt;""),Rules!$B$2:$B$200),"Uncategorized"))</f>
        <v/>
      </c>
      <c r="E842" s="3" t="str">
        <f aca="false">IF($B842="","",IF($C842&gt;=0,"Income","Expense"))</f>
        <v/>
      </c>
      <c r="F842" s="3" t="str">
        <f aca="false">IF($B842="","",IFERROR(LOOKUP(2^15,SEARCH(Rules!$A$2:$A$200&amp;"",$B842)/(Rules!$A$2:$A$200&lt;&gt;""),Rules!$A$2:$A$200),""))</f>
        <v/>
      </c>
      <c r="G842" s="3" t="str">
        <f aca="false">IF($B842="","",IF(D842="Uncategorized","⚠ Review",IF(IFERROR(LOOKUP(2^15,SEARCH(Rules!$A$2:$A$200&amp;"",$B842)/(Rules!$A$2:$A$200&lt;&gt;""),Rules!$C$2:$C$200),"")&lt;&gt;E842,"⚠ Check sign","OK")))</f>
        <v/>
      </c>
    </row>
    <row r="843" customFormat="false" ht="15" hidden="false" customHeight="false" outlineLevel="0" collapsed="false">
      <c r="A843" s="3"/>
      <c r="B843" s="3"/>
      <c r="C843" s="3"/>
      <c r="D843" s="3" t="str">
        <f aca="false">IF($B843="","",IFERROR(LOOKUP(2^15,SEARCH(Rules!$A$2:$A$200&amp;"",$B843)/(Rules!$A$2:$A$200&lt;&gt;""),Rules!$B$2:$B$200),"Uncategorized"))</f>
        <v/>
      </c>
      <c r="E843" s="3" t="str">
        <f aca="false">IF($B843="","",IF($C843&gt;=0,"Income","Expense"))</f>
        <v/>
      </c>
      <c r="F843" s="3" t="str">
        <f aca="false">IF($B843="","",IFERROR(LOOKUP(2^15,SEARCH(Rules!$A$2:$A$200&amp;"",$B843)/(Rules!$A$2:$A$200&lt;&gt;""),Rules!$A$2:$A$200),""))</f>
        <v/>
      </c>
      <c r="G843" s="3" t="str">
        <f aca="false">IF($B843="","",IF(D843="Uncategorized","⚠ Review",IF(IFERROR(LOOKUP(2^15,SEARCH(Rules!$A$2:$A$200&amp;"",$B843)/(Rules!$A$2:$A$200&lt;&gt;""),Rules!$C$2:$C$200),"")&lt;&gt;E843,"⚠ Check sign","OK")))</f>
        <v/>
      </c>
    </row>
    <row r="844" customFormat="false" ht="15" hidden="false" customHeight="false" outlineLevel="0" collapsed="false">
      <c r="A844" s="3"/>
      <c r="B844" s="3"/>
      <c r="C844" s="3"/>
      <c r="D844" s="3" t="str">
        <f aca="false">IF($B844="","",IFERROR(LOOKUP(2^15,SEARCH(Rules!$A$2:$A$200&amp;"",$B844)/(Rules!$A$2:$A$200&lt;&gt;""),Rules!$B$2:$B$200),"Uncategorized"))</f>
        <v/>
      </c>
      <c r="E844" s="3" t="str">
        <f aca="false">IF($B844="","",IF($C844&gt;=0,"Income","Expense"))</f>
        <v/>
      </c>
      <c r="F844" s="3" t="str">
        <f aca="false">IF($B844="","",IFERROR(LOOKUP(2^15,SEARCH(Rules!$A$2:$A$200&amp;"",$B844)/(Rules!$A$2:$A$200&lt;&gt;""),Rules!$A$2:$A$200),""))</f>
        <v/>
      </c>
      <c r="G844" s="3" t="str">
        <f aca="false">IF($B844="","",IF(D844="Uncategorized","⚠ Review",IF(IFERROR(LOOKUP(2^15,SEARCH(Rules!$A$2:$A$200&amp;"",$B844)/(Rules!$A$2:$A$200&lt;&gt;""),Rules!$C$2:$C$200),"")&lt;&gt;E844,"⚠ Check sign","OK")))</f>
        <v/>
      </c>
    </row>
    <row r="845" customFormat="false" ht="15" hidden="false" customHeight="false" outlineLevel="0" collapsed="false">
      <c r="A845" s="3"/>
      <c r="B845" s="3"/>
      <c r="C845" s="3"/>
      <c r="D845" s="3" t="str">
        <f aca="false">IF($B845="","",IFERROR(LOOKUP(2^15,SEARCH(Rules!$A$2:$A$200&amp;"",$B845)/(Rules!$A$2:$A$200&lt;&gt;""),Rules!$B$2:$B$200),"Uncategorized"))</f>
        <v/>
      </c>
      <c r="E845" s="3" t="str">
        <f aca="false">IF($B845="","",IF($C845&gt;=0,"Income","Expense"))</f>
        <v/>
      </c>
      <c r="F845" s="3" t="str">
        <f aca="false">IF($B845="","",IFERROR(LOOKUP(2^15,SEARCH(Rules!$A$2:$A$200&amp;"",$B845)/(Rules!$A$2:$A$200&lt;&gt;""),Rules!$A$2:$A$200),""))</f>
        <v/>
      </c>
      <c r="G845" s="3" t="str">
        <f aca="false">IF($B845="","",IF(D845="Uncategorized","⚠ Review",IF(IFERROR(LOOKUP(2^15,SEARCH(Rules!$A$2:$A$200&amp;"",$B845)/(Rules!$A$2:$A$200&lt;&gt;""),Rules!$C$2:$C$200),"")&lt;&gt;E845,"⚠ Check sign","OK")))</f>
        <v/>
      </c>
    </row>
    <row r="846" customFormat="false" ht="15" hidden="false" customHeight="false" outlineLevel="0" collapsed="false">
      <c r="A846" s="3"/>
      <c r="B846" s="3"/>
      <c r="C846" s="3"/>
      <c r="D846" s="3" t="str">
        <f aca="false">IF($B846="","",IFERROR(LOOKUP(2^15,SEARCH(Rules!$A$2:$A$200&amp;"",$B846)/(Rules!$A$2:$A$200&lt;&gt;""),Rules!$B$2:$B$200),"Uncategorized"))</f>
        <v/>
      </c>
      <c r="E846" s="3" t="str">
        <f aca="false">IF($B846="","",IF($C846&gt;=0,"Income","Expense"))</f>
        <v/>
      </c>
      <c r="F846" s="3" t="str">
        <f aca="false">IF($B846="","",IFERROR(LOOKUP(2^15,SEARCH(Rules!$A$2:$A$200&amp;"",$B846)/(Rules!$A$2:$A$200&lt;&gt;""),Rules!$A$2:$A$200),""))</f>
        <v/>
      </c>
      <c r="G846" s="3" t="str">
        <f aca="false">IF($B846="","",IF(D846="Uncategorized","⚠ Review",IF(IFERROR(LOOKUP(2^15,SEARCH(Rules!$A$2:$A$200&amp;"",$B846)/(Rules!$A$2:$A$200&lt;&gt;""),Rules!$C$2:$C$200),"")&lt;&gt;E846,"⚠ Check sign","OK")))</f>
        <v/>
      </c>
    </row>
    <row r="847" customFormat="false" ht="15" hidden="false" customHeight="false" outlineLevel="0" collapsed="false">
      <c r="A847" s="3"/>
      <c r="B847" s="3"/>
      <c r="C847" s="3"/>
      <c r="D847" s="3" t="str">
        <f aca="false">IF($B847="","",IFERROR(LOOKUP(2^15,SEARCH(Rules!$A$2:$A$200&amp;"",$B847)/(Rules!$A$2:$A$200&lt;&gt;""),Rules!$B$2:$B$200),"Uncategorized"))</f>
        <v/>
      </c>
      <c r="E847" s="3" t="str">
        <f aca="false">IF($B847="","",IF($C847&gt;=0,"Income","Expense"))</f>
        <v/>
      </c>
      <c r="F847" s="3" t="str">
        <f aca="false">IF($B847="","",IFERROR(LOOKUP(2^15,SEARCH(Rules!$A$2:$A$200&amp;"",$B847)/(Rules!$A$2:$A$200&lt;&gt;""),Rules!$A$2:$A$200),""))</f>
        <v/>
      </c>
      <c r="G847" s="3" t="str">
        <f aca="false">IF($B847="","",IF(D847="Uncategorized","⚠ Review",IF(IFERROR(LOOKUP(2^15,SEARCH(Rules!$A$2:$A$200&amp;"",$B847)/(Rules!$A$2:$A$200&lt;&gt;""),Rules!$C$2:$C$200),"")&lt;&gt;E847,"⚠ Check sign","OK")))</f>
        <v/>
      </c>
    </row>
    <row r="848" customFormat="false" ht="15" hidden="false" customHeight="false" outlineLevel="0" collapsed="false">
      <c r="A848" s="3"/>
      <c r="B848" s="3"/>
      <c r="C848" s="3"/>
      <c r="D848" s="3" t="str">
        <f aca="false">IF($B848="","",IFERROR(LOOKUP(2^15,SEARCH(Rules!$A$2:$A$200&amp;"",$B848)/(Rules!$A$2:$A$200&lt;&gt;""),Rules!$B$2:$B$200),"Uncategorized"))</f>
        <v/>
      </c>
      <c r="E848" s="3" t="str">
        <f aca="false">IF($B848="","",IF($C848&gt;=0,"Income","Expense"))</f>
        <v/>
      </c>
      <c r="F848" s="3" t="str">
        <f aca="false">IF($B848="","",IFERROR(LOOKUP(2^15,SEARCH(Rules!$A$2:$A$200&amp;"",$B848)/(Rules!$A$2:$A$200&lt;&gt;""),Rules!$A$2:$A$200),""))</f>
        <v/>
      </c>
      <c r="G848" s="3" t="str">
        <f aca="false">IF($B848="","",IF(D848="Uncategorized","⚠ Review",IF(IFERROR(LOOKUP(2^15,SEARCH(Rules!$A$2:$A$200&amp;"",$B848)/(Rules!$A$2:$A$200&lt;&gt;""),Rules!$C$2:$C$200),"")&lt;&gt;E848,"⚠ Check sign","OK")))</f>
        <v/>
      </c>
    </row>
    <row r="849" customFormat="false" ht="15" hidden="false" customHeight="false" outlineLevel="0" collapsed="false">
      <c r="A849" s="3"/>
      <c r="B849" s="3"/>
      <c r="C849" s="3"/>
      <c r="D849" s="3" t="str">
        <f aca="false">IF($B849="","",IFERROR(LOOKUP(2^15,SEARCH(Rules!$A$2:$A$200&amp;"",$B849)/(Rules!$A$2:$A$200&lt;&gt;""),Rules!$B$2:$B$200),"Uncategorized"))</f>
        <v/>
      </c>
      <c r="E849" s="3" t="str">
        <f aca="false">IF($B849="","",IF($C849&gt;=0,"Income","Expense"))</f>
        <v/>
      </c>
      <c r="F849" s="3" t="str">
        <f aca="false">IF($B849="","",IFERROR(LOOKUP(2^15,SEARCH(Rules!$A$2:$A$200&amp;"",$B849)/(Rules!$A$2:$A$200&lt;&gt;""),Rules!$A$2:$A$200),""))</f>
        <v/>
      </c>
      <c r="G849" s="3" t="str">
        <f aca="false">IF($B849="","",IF(D849="Uncategorized","⚠ Review",IF(IFERROR(LOOKUP(2^15,SEARCH(Rules!$A$2:$A$200&amp;"",$B849)/(Rules!$A$2:$A$200&lt;&gt;""),Rules!$C$2:$C$200),"")&lt;&gt;E849,"⚠ Check sign","OK")))</f>
        <v/>
      </c>
    </row>
    <row r="850" customFormat="false" ht="15" hidden="false" customHeight="false" outlineLevel="0" collapsed="false">
      <c r="A850" s="3"/>
      <c r="B850" s="3"/>
      <c r="C850" s="3"/>
      <c r="D850" s="3" t="str">
        <f aca="false">IF($B850="","",IFERROR(LOOKUP(2^15,SEARCH(Rules!$A$2:$A$200&amp;"",$B850)/(Rules!$A$2:$A$200&lt;&gt;""),Rules!$B$2:$B$200),"Uncategorized"))</f>
        <v/>
      </c>
      <c r="E850" s="3" t="str">
        <f aca="false">IF($B850="","",IF($C850&gt;=0,"Income","Expense"))</f>
        <v/>
      </c>
      <c r="F850" s="3" t="str">
        <f aca="false">IF($B850="","",IFERROR(LOOKUP(2^15,SEARCH(Rules!$A$2:$A$200&amp;"",$B850)/(Rules!$A$2:$A$200&lt;&gt;""),Rules!$A$2:$A$200),""))</f>
        <v/>
      </c>
      <c r="G850" s="3" t="str">
        <f aca="false">IF($B850="","",IF(D850="Uncategorized","⚠ Review",IF(IFERROR(LOOKUP(2^15,SEARCH(Rules!$A$2:$A$200&amp;"",$B850)/(Rules!$A$2:$A$200&lt;&gt;""),Rules!$C$2:$C$200),"")&lt;&gt;E850,"⚠ Check sign","OK")))</f>
        <v/>
      </c>
    </row>
    <row r="851" customFormat="false" ht="15" hidden="false" customHeight="false" outlineLevel="0" collapsed="false">
      <c r="A851" s="3"/>
      <c r="B851" s="3"/>
      <c r="C851" s="3"/>
      <c r="D851" s="3" t="str">
        <f aca="false">IF($B851="","",IFERROR(LOOKUP(2^15,SEARCH(Rules!$A$2:$A$200&amp;"",$B851)/(Rules!$A$2:$A$200&lt;&gt;""),Rules!$B$2:$B$200),"Uncategorized"))</f>
        <v/>
      </c>
      <c r="E851" s="3" t="str">
        <f aca="false">IF($B851="","",IF($C851&gt;=0,"Income","Expense"))</f>
        <v/>
      </c>
      <c r="F851" s="3" t="str">
        <f aca="false">IF($B851="","",IFERROR(LOOKUP(2^15,SEARCH(Rules!$A$2:$A$200&amp;"",$B851)/(Rules!$A$2:$A$200&lt;&gt;""),Rules!$A$2:$A$200),""))</f>
        <v/>
      </c>
      <c r="G851" s="3" t="str">
        <f aca="false">IF($B851="","",IF(D851="Uncategorized","⚠ Review",IF(IFERROR(LOOKUP(2^15,SEARCH(Rules!$A$2:$A$200&amp;"",$B851)/(Rules!$A$2:$A$200&lt;&gt;""),Rules!$C$2:$C$200),"")&lt;&gt;E851,"⚠ Check sign","OK")))</f>
        <v/>
      </c>
    </row>
    <row r="852" customFormat="false" ht="15" hidden="false" customHeight="false" outlineLevel="0" collapsed="false">
      <c r="A852" s="3"/>
      <c r="B852" s="3"/>
      <c r="C852" s="3"/>
      <c r="D852" s="3" t="str">
        <f aca="false">IF($B852="","",IFERROR(LOOKUP(2^15,SEARCH(Rules!$A$2:$A$200&amp;"",$B852)/(Rules!$A$2:$A$200&lt;&gt;""),Rules!$B$2:$B$200),"Uncategorized"))</f>
        <v/>
      </c>
      <c r="E852" s="3" t="str">
        <f aca="false">IF($B852="","",IF($C852&gt;=0,"Income","Expense"))</f>
        <v/>
      </c>
      <c r="F852" s="3" t="str">
        <f aca="false">IF($B852="","",IFERROR(LOOKUP(2^15,SEARCH(Rules!$A$2:$A$200&amp;"",$B852)/(Rules!$A$2:$A$200&lt;&gt;""),Rules!$A$2:$A$200),""))</f>
        <v/>
      </c>
      <c r="G852" s="3" t="str">
        <f aca="false">IF($B852="","",IF(D852="Uncategorized","⚠ Review",IF(IFERROR(LOOKUP(2^15,SEARCH(Rules!$A$2:$A$200&amp;"",$B852)/(Rules!$A$2:$A$200&lt;&gt;""),Rules!$C$2:$C$200),"")&lt;&gt;E852,"⚠ Check sign","OK")))</f>
        <v/>
      </c>
    </row>
    <row r="853" customFormat="false" ht="15" hidden="false" customHeight="false" outlineLevel="0" collapsed="false">
      <c r="A853" s="3"/>
      <c r="B853" s="3"/>
      <c r="C853" s="3"/>
      <c r="D853" s="3" t="str">
        <f aca="false">IF($B853="","",IFERROR(LOOKUP(2^15,SEARCH(Rules!$A$2:$A$200&amp;"",$B853)/(Rules!$A$2:$A$200&lt;&gt;""),Rules!$B$2:$B$200),"Uncategorized"))</f>
        <v/>
      </c>
      <c r="E853" s="3" t="str">
        <f aca="false">IF($B853="","",IF($C853&gt;=0,"Income","Expense"))</f>
        <v/>
      </c>
      <c r="F853" s="3" t="str">
        <f aca="false">IF($B853="","",IFERROR(LOOKUP(2^15,SEARCH(Rules!$A$2:$A$200&amp;"",$B853)/(Rules!$A$2:$A$200&lt;&gt;""),Rules!$A$2:$A$200),""))</f>
        <v/>
      </c>
      <c r="G853" s="3" t="str">
        <f aca="false">IF($B853="","",IF(D853="Uncategorized","⚠ Review",IF(IFERROR(LOOKUP(2^15,SEARCH(Rules!$A$2:$A$200&amp;"",$B853)/(Rules!$A$2:$A$200&lt;&gt;""),Rules!$C$2:$C$200),"")&lt;&gt;E853,"⚠ Check sign","OK")))</f>
        <v/>
      </c>
    </row>
    <row r="854" customFormat="false" ht="15" hidden="false" customHeight="false" outlineLevel="0" collapsed="false">
      <c r="A854" s="3"/>
      <c r="B854" s="3"/>
      <c r="C854" s="3"/>
      <c r="D854" s="3" t="str">
        <f aca="false">IF($B854="","",IFERROR(LOOKUP(2^15,SEARCH(Rules!$A$2:$A$200&amp;"",$B854)/(Rules!$A$2:$A$200&lt;&gt;""),Rules!$B$2:$B$200),"Uncategorized"))</f>
        <v/>
      </c>
      <c r="E854" s="3" t="str">
        <f aca="false">IF($B854="","",IF($C854&gt;=0,"Income","Expense"))</f>
        <v/>
      </c>
      <c r="F854" s="3" t="str">
        <f aca="false">IF($B854="","",IFERROR(LOOKUP(2^15,SEARCH(Rules!$A$2:$A$200&amp;"",$B854)/(Rules!$A$2:$A$200&lt;&gt;""),Rules!$A$2:$A$200),""))</f>
        <v/>
      </c>
      <c r="G854" s="3" t="str">
        <f aca="false">IF($B854="","",IF(D854="Uncategorized","⚠ Review",IF(IFERROR(LOOKUP(2^15,SEARCH(Rules!$A$2:$A$200&amp;"",$B854)/(Rules!$A$2:$A$200&lt;&gt;""),Rules!$C$2:$C$200),"")&lt;&gt;E854,"⚠ Check sign","OK")))</f>
        <v/>
      </c>
    </row>
    <row r="855" customFormat="false" ht="15" hidden="false" customHeight="false" outlineLevel="0" collapsed="false">
      <c r="A855" s="3"/>
      <c r="B855" s="3"/>
      <c r="C855" s="3"/>
      <c r="D855" s="3" t="str">
        <f aca="false">IF($B855="","",IFERROR(LOOKUP(2^15,SEARCH(Rules!$A$2:$A$200&amp;"",$B855)/(Rules!$A$2:$A$200&lt;&gt;""),Rules!$B$2:$B$200),"Uncategorized"))</f>
        <v/>
      </c>
      <c r="E855" s="3" t="str">
        <f aca="false">IF($B855="","",IF($C855&gt;=0,"Income","Expense"))</f>
        <v/>
      </c>
      <c r="F855" s="3" t="str">
        <f aca="false">IF($B855="","",IFERROR(LOOKUP(2^15,SEARCH(Rules!$A$2:$A$200&amp;"",$B855)/(Rules!$A$2:$A$200&lt;&gt;""),Rules!$A$2:$A$200),""))</f>
        <v/>
      </c>
      <c r="G855" s="3" t="str">
        <f aca="false">IF($B855="","",IF(D855="Uncategorized","⚠ Review",IF(IFERROR(LOOKUP(2^15,SEARCH(Rules!$A$2:$A$200&amp;"",$B855)/(Rules!$A$2:$A$200&lt;&gt;""),Rules!$C$2:$C$200),"")&lt;&gt;E855,"⚠ Check sign","OK")))</f>
        <v/>
      </c>
    </row>
    <row r="856" customFormat="false" ht="15" hidden="false" customHeight="false" outlineLevel="0" collapsed="false">
      <c r="A856" s="3"/>
      <c r="B856" s="3"/>
      <c r="C856" s="3"/>
      <c r="D856" s="3" t="str">
        <f aca="false">IF($B856="","",IFERROR(LOOKUP(2^15,SEARCH(Rules!$A$2:$A$200&amp;"",$B856)/(Rules!$A$2:$A$200&lt;&gt;""),Rules!$B$2:$B$200),"Uncategorized"))</f>
        <v/>
      </c>
      <c r="E856" s="3" t="str">
        <f aca="false">IF($B856="","",IF($C856&gt;=0,"Income","Expense"))</f>
        <v/>
      </c>
      <c r="F856" s="3" t="str">
        <f aca="false">IF($B856="","",IFERROR(LOOKUP(2^15,SEARCH(Rules!$A$2:$A$200&amp;"",$B856)/(Rules!$A$2:$A$200&lt;&gt;""),Rules!$A$2:$A$200),""))</f>
        <v/>
      </c>
      <c r="G856" s="3" t="str">
        <f aca="false">IF($B856="","",IF(D856="Uncategorized","⚠ Review",IF(IFERROR(LOOKUP(2^15,SEARCH(Rules!$A$2:$A$200&amp;"",$B856)/(Rules!$A$2:$A$200&lt;&gt;""),Rules!$C$2:$C$200),"")&lt;&gt;E856,"⚠ Check sign","OK")))</f>
        <v/>
      </c>
    </row>
    <row r="857" customFormat="false" ht="15" hidden="false" customHeight="false" outlineLevel="0" collapsed="false">
      <c r="A857" s="3"/>
      <c r="B857" s="3"/>
      <c r="C857" s="3"/>
      <c r="D857" s="3" t="str">
        <f aca="false">IF($B857="","",IFERROR(LOOKUP(2^15,SEARCH(Rules!$A$2:$A$200&amp;"",$B857)/(Rules!$A$2:$A$200&lt;&gt;""),Rules!$B$2:$B$200),"Uncategorized"))</f>
        <v/>
      </c>
      <c r="E857" s="3" t="str">
        <f aca="false">IF($B857="","",IF($C857&gt;=0,"Income","Expense"))</f>
        <v/>
      </c>
      <c r="F857" s="3" t="str">
        <f aca="false">IF($B857="","",IFERROR(LOOKUP(2^15,SEARCH(Rules!$A$2:$A$200&amp;"",$B857)/(Rules!$A$2:$A$200&lt;&gt;""),Rules!$A$2:$A$200),""))</f>
        <v/>
      </c>
      <c r="G857" s="3" t="str">
        <f aca="false">IF($B857="","",IF(D857="Uncategorized","⚠ Review",IF(IFERROR(LOOKUP(2^15,SEARCH(Rules!$A$2:$A$200&amp;"",$B857)/(Rules!$A$2:$A$200&lt;&gt;""),Rules!$C$2:$C$200),"")&lt;&gt;E857,"⚠ Check sign","OK")))</f>
        <v/>
      </c>
    </row>
    <row r="858" customFormat="false" ht="15" hidden="false" customHeight="false" outlineLevel="0" collapsed="false">
      <c r="A858" s="3"/>
      <c r="B858" s="3"/>
      <c r="C858" s="3"/>
      <c r="D858" s="3" t="str">
        <f aca="false">IF($B858="","",IFERROR(LOOKUP(2^15,SEARCH(Rules!$A$2:$A$200&amp;"",$B858)/(Rules!$A$2:$A$200&lt;&gt;""),Rules!$B$2:$B$200),"Uncategorized"))</f>
        <v/>
      </c>
      <c r="E858" s="3" t="str">
        <f aca="false">IF($B858="","",IF($C858&gt;=0,"Income","Expense"))</f>
        <v/>
      </c>
      <c r="F858" s="3" t="str">
        <f aca="false">IF($B858="","",IFERROR(LOOKUP(2^15,SEARCH(Rules!$A$2:$A$200&amp;"",$B858)/(Rules!$A$2:$A$200&lt;&gt;""),Rules!$A$2:$A$200),""))</f>
        <v/>
      </c>
      <c r="G858" s="3" t="str">
        <f aca="false">IF($B858="","",IF(D858="Uncategorized","⚠ Review",IF(IFERROR(LOOKUP(2^15,SEARCH(Rules!$A$2:$A$200&amp;"",$B858)/(Rules!$A$2:$A$200&lt;&gt;""),Rules!$C$2:$C$200),"")&lt;&gt;E858,"⚠ Check sign","OK")))</f>
        <v/>
      </c>
    </row>
    <row r="859" customFormat="false" ht="15" hidden="false" customHeight="false" outlineLevel="0" collapsed="false">
      <c r="A859" s="3"/>
      <c r="B859" s="3"/>
      <c r="C859" s="3"/>
      <c r="D859" s="3" t="str">
        <f aca="false">IF($B859="","",IFERROR(LOOKUP(2^15,SEARCH(Rules!$A$2:$A$200&amp;"",$B859)/(Rules!$A$2:$A$200&lt;&gt;""),Rules!$B$2:$B$200),"Uncategorized"))</f>
        <v/>
      </c>
      <c r="E859" s="3" t="str">
        <f aca="false">IF($B859="","",IF($C859&gt;=0,"Income","Expense"))</f>
        <v/>
      </c>
      <c r="F859" s="3" t="str">
        <f aca="false">IF($B859="","",IFERROR(LOOKUP(2^15,SEARCH(Rules!$A$2:$A$200&amp;"",$B859)/(Rules!$A$2:$A$200&lt;&gt;""),Rules!$A$2:$A$200),""))</f>
        <v/>
      </c>
      <c r="G859" s="3" t="str">
        <f aca="false">IF($B859="","",IF(D859="Uncategorized","⚠ Review",IF(IFERROR(LOOKUP(2^15,SEARCH(Rules!$A$2:$A$200&amp;"",$B859)/(Rules!$A$2:$A$200&lt;&gt;""),Rules!$C$2:$C$200),"")&lt;&gt;E859,"⚠ Check sign","OK")))</f>
        <v/>
      </c>
    </row>
    <row r="860" customFormat="false" ht="15" hidden="false" customHeight="false" outlineLevel="0" collapsed="false">
      <c r="A860" s="3"/>
      <c r="B860" s="3"/>
      <c r="C860" s="3"/>
      <c r="D860" s="3" t="str">
        <f aca="false">IF($B860="","",IFERROR(LOOKUP(2^15,SEARCH(Rules!$A$2:$A$200&amp;"",$B860)/(Rules!$A$2:$A$200&lt;&gt;""),Rules!$B$2:$B$200),"Uncategorized"))</f>
        <v/>
      </c>
      <c r="E860" s="3" t="str">
        <f aca="false">IF($B860="","",IF($C860&gt;=0,"Income","Expense"))</f>
        <v/>
      </c>
      <c r="F860" s="3" t="str">
        <f aca="false">IF($B860="","",IFERROR(LOOKUP(2^15,SEARCH(Rules!$A$2:$A$200&amp;"",$B860)/(Rules!$A$2:$A$200&lt;&gt;""),Rules!$A$2:$A$200),""))</f>
        <v/>
      </c>
      <c r="G860" s="3" t="str">
        <f aca="false">IF($B860="","",IF(D860="Uncategorized","⚠ Review",IF(IFERROR(LOOKUP(2^15,SEARCH(Rules!$A$2:$A$200&amp;"",$B860)/(Rules!$A$2:$A$200&lt;&gt;""),Rules!$C$2:$C$200),"")&lt;&gt;E860,"⚠ Check sign","OK")))</f>
        <v/>
      </c>
    </row>
    <row r="861" customFormat="false" ht="15" hidden="false" customHeight="false" outlineLevel="0" collapsed="false">
      <c r="A861" s="3"/>
      <c r="B861" s="3"/>
      <c r="C861" s="3"/>
      <c r="D861" s="3" t="str">
        <f aca="false">IF($B861="","",IFERROR(LOOKUP(2^15,SEARCH(Rules!$A$2:$A$200&amp;"",$B861)/(Rules!$A$2:$A$200&lt;&gt;""),Rules!$B$2:$B$200),"Uncategorized"))</f>
        <v/>
      </c>
      <c r="E861" s="3" t="str">
        <f aca="false">IF($B861="","",IF($C861&gt;=0,"Income","Expense"))</f>
        <v/>
      </c>
      <c r="F861" s="3" t="str">
        <f aca="false">IF($B861="","",IFERROR(LOOKUP(2^15,SEARCH(Rules!$A$2:$A$200&amp;"",$B861)/(Rules!$A$2:$A$200&lt;&gt;""),Rules!$A$2:$A$200),""))</f>
        <v/>
      </c>
      <c r="G861" s="3" t="str">
        <f aca="false">IF($B861="","",IF(D861="Uncategorized","⚠ Review",IF(IFERROR(LOOKUP(2^15,SEARCH(Rules!$A$2:$A$200&amp;"",$B861)/(Rules!$A$2:$A$200&lt;&gt;""),Rules!$C$2:$C$200),"")&lt;&gt;E861,"⚠ Check sign","OK")))</f>
        <v/>
      </c>
    </row>
    <row r="862" customFormat="false" ht="15" hidden="false" customHeight="false" outlineLevel="0" collapsed="false">
      <c r="A862" s="3"/>
      <c r="B862" s="3"/>
      <c r="C862" s="3"/>
      <c r="D862" s="3" t="str">
        <f aca="false">IF($B862="","",IFERROR(LOOKUP(2^15,SEARCH(Rules!$A$2:$A$200&amp;"",$B862)/(Rules!$A$2:$A$200&lt;&gt;""),Rules!$B$2:$B$200),"Uncategorized"))</f>
        <v/>
      </c>
      <c r="E862" s="3" t="str">
        <f aca="false">IF($B862="","",IF($C862&gt;=0,"Income","Expense"))</f>
        <v/>
      </c>
      <c r="F862" s="3" t="str">
        <f aca="false">IF($B862="","",IFERROR(LOOKUP(2^15,SEARCH(Rules!$A$2:$A$200&amp;"",$B862)/(Rules!$A$2:$A$200&lt;&gt;""),Rules!$A$2:$A$200),""))</f>
        <v/>
      </c>
      <c r="G862" s="3" t="str">
        <f aca="false">IF($B862="","",IF(D862="Uncategorized","⚠ Review",IF(IFERROR(LOOKUP(2^15,SEARCH(Rules!$A$2:$A$200&amp;"",$B862)/(Rules!$A$2:$A$200&lt;&gt;""),Rules!$C$2:$C$200),"")&lt;&gt;E862,"⚠ Check sign","OK")))</f>
        <v/>
      </c>
    </row>
    <row r="863" customFormat="false" ht="15" hidden="false" customHeight="false" outlineLevel="0" collapsed="false">
      <c r="A863" s="3"/>
      <c r="B863" s="3"/>
      <c r="C863" s="3"/>
      <c r="D863" s="3" t="str">
        <f aca="false">IF($B863="","",IFERROR(LOOKUP(2^15,SEARCH(Rules!$A$2:$A$200&amp;"",$B863)/(Rules!$A$2:$A$200&lt;&gt;""),Rules!$B$2:$B$200),"Uncategorized"))</f>
        <v/>
      </c>
      <c r="E863" s="3" t="str">
        <f aca="false">IF($B863="","",IF($C863&gt;=0,"Income","Expense"))</f>
        <v/>
      </c>
      <c r="F863" s="3" t="str">
        <f aca="false">IF($B863="","",IFERROR(LOOKUP(2^15,SEARCH(Rules!$A$2:$A$200&amp;"",$B863)/(Rules!$A$2:$A$200&lt;&gt;""),Rules!$A$2:$A$200),""))</f>
        <v/>
      </c>
      <c r="G863" s="3" t="str">
        <f aca="false">IF($B863="","",IF(D863="Uncategorized","⚠ Review",IF(IFERROR(LOOKUP(2^15,SEARCH(Rules!$A$2:$A$200&amp;"",$B863)/(Rules!$A$2:$A$200&lt;&gt;""),Rules!$C$2:$C$200),"")&lt;&gt;E863,"⚠ Check sign","OK")))</f>
        <v/>
      </c>
    </row>
    <row r="864" customFormat="false" ht="15" hidden="false" customHeight="false" outlineLevel="0" collapsed="false">
      <c r="A864" s="3"/>
      <c r="B864" s="3"/>
      <c r="C864" s="3"/>
      <c r="D864" s="3" t="str">
        <f aca="false">IF($B864="","",IFERROR(LOOKUP(2^15,SEARCH(Rules!$A$2:$A$200&amp;"",$B864)/(Rules!$A$2:$A$200&lt;&gt;""),Rules!$B$2:$B$200),"Uncategorized"))</f>
        <v/>
      </c>
      <c r="E864" s="3" t="str">
        <f aca="false">IF($B864="","",IF($C864&gt;=0,"Income","Expense"))</f>
        <v/>
      </c>
      <c r="F864" s="3" t="str">
        <f aca="false">IF($B864="","",IFERROR(LOOKUP(2^15,SEARCH(Rules!$A$2:$A$200&amp;"",$B864)/(Rules!$A$2:$A$200&lt;&gt;""),Rules!$A$2:$A$200),""))</f>
        <v/>
      </c>
      <c r="G864" s="3" t="str">
        <f aca="false">IF($B864="","",IF(D864="Uncategorized","⚠ Review",IF(IFERROR(LOOKUP(2^15,SEARCH(Rules!$A$2:$A$200&amp;"",$B864)/(Rules!$A$2:$A$200&lt;&gt;""),Rules!$C$2:$C$200),"")&lt;&gt;E864,"⚠ Check sign","OK")))</f>
        <v/>
      </c>
    </row>
    <row r="865" customFormat="false" ht="15" hidden="false" customHeight="false" outlineLevel="0" collapsed="false">
      <c r="A865" s="3"/>
      <c r="B865" s="3"/>
      <c r="C865" s="3"/>
      <c r="D865" s="3" t="str">
        <f aca="false">IF($B865="","",IFERROR(LOOKUP(2^15,SEARCH(Rules!$A$2:$A$200&amp;"",$B865)/(Rules!$A$2:$A$200&lt;&gt;""),Rules!$B$2:$B$200),"Uncategorized"))</f>
        <v/>
      </c>
      <c r="E865" s="3" t="str">
        <f aca="false">IF($B865="","",IF($C865&gt;=0,"Income","Expense"))</f>
        <v/>
      </c>
      <c r="F865" s="3" t="str">
        <f aca="false">IF($B865="","",IFERROR(LOOKUP(2^15,SEARCH(Rules!$A$2:$A$200&amp;"",$B865)/(Rules!$A$2:$A$200&lt;&gt;""),Rules!$A$2:$A$200),""))</f>
        <v/>
      </c>
      <c r="G865" s="3" t="str">
        <f aca="false">IF($B865="","",IF(D865="Uncategorized","⚠ Review",IF(IFERROR(LOOKUP(2^15,SEARCH(Rules!$A$2:$A$200&amp;"",$B865)/(Rules!$A$2:$A$200&lt;&gt;""),Rules!$C$2:$C$200),"")&lt;&gt;E865,"⚠ Check sign","OK")))</f>
        <v/>
      </c>
    </row>
    <row r="866" customFormat="false" ht="15" hidden="false" customHeight="false" outlineLevel="0" collapsed="false">
      <c r="A866" s="3"/>
      <c r="B866" s="3"/>
      <c r="C866" s="3"/>
      <c r="D866" s="3" t="str">
        <f aca="false">IF($B866="","",IFERROR(LOOKUP(2^15,SEARCH(Rules!$A$2:$A$200&amp;"",$B866)/(Rules!$A$2:$A$200&lt;&gt;""),Rules!$B$2:$B$200),"Uncategorized"))</f>
        <v/>
      </c>
      <c r="E866" s="3" t="str">
        <f aca="false">IF($B866="","",IF($C866&gt;=0,"Income","Expense"))</f>
        <v/>
      </c>
      <c r="F866" s="3" t="str">
        <f aca="false">IF($B866="","",IFERROR(LOOKUP(2^15,SEARCH(Rules!$A$2:$A$200&amp;"",$B866)/(Rules!$A$2:$A$200&lt;&gt;""),Rules!$A$2:$A$200),""))</f>
        <v/>
      </c>
      <c r="G866" s="3" t="str">
        <f aca="false">IF($B866="","",IF(D866="Uncategorized","⚠ Review",IF(IFERROR(LOOKUP(2^15,SEARCH(Rules!$A$2:$A$200&amp;"",$B866)/(Rules!$A$2:$A$200&lt;&gt;""),Rules!$C$2:$C$200),"")&lt;&gt;E866,"⚠ Check sign","OK")))</f>
        <v/>
      </c>
    </row>
    <row r="867" customFormat="false" ht="15" hidden="false" customHeight="false" outlineLevel="0" collapsed="false">
      <c r="A867" s="3"/>
      <c r="B867" s="3"/>
      <c r="C867" s="3"/>
      <c r="D867" s="3" t="str">
        <f aca="false">IF($B867="","",IFERROR(LOOKUP(2^15,SEARCH(Rules!$A$2:$A$200&amp;"",$B867)/(Rules!$A$2:$A$200&lt;&gt;""),Rules!$B$2:$B$200),"Uncategorized"))</f>
        <v/>
      </c>
      <c r="E867" s="3" t="str">
        <f aca="false">IF($B867="","",IF($C867&gt;=0,"Income","Expense"))</f>
        <v/>
      </c>
      <c r="F867" s="3" t="str">
        <f aca="false">IF($B867="","",IFERROR(LOOKUP(2^15,SEARCH(Rules!$A$2:$A$200&amp;"",$B867)/(Rules!$A$2:$A$200&lt;&gt;""),Rules!$A$2:$A$200),""))</f>
        <v/>
      </c>
      <c r="G867" s="3" t="str">
        <f aca="false">IF($B867="","",IF(D867="Uncategorized","⚠ Review",IF(IFERROR(LOOKUP(2^15,SEARCH(Rules!$A$2:$A$200&amp;"",$B867)/(Rules!$A$2:$A$200&lt;&gt;""),Rules!$C$2:$C$200),"")&lt;&gt;E867,"⚠ Check sign","OK")))</f>
        <v/>
      </c>
    </row>
    <row r="868" customFormat="false" ht="15" hidden="false" customHeight="false" outlineLevel="0" collapsed="false">
      <c r="A868" s="3"/>
      <c r="B868" s="3"/>
      <c r="C868" s="3"/>
      <c r="D868" s="3" t="str">
        <f aca="false">IF($B868="","",IFERROR(LOOKUP(2^15,SEARCH(Rules!$A$2:$A$200&amp;"",$B868)/(Rules!$A$2:$A$200&lt;&gt;""),Rules!$B$2:$B$200),"Uncategorized"))</f>
        <v/>
      </c>
      <c r="E868" s="3" t="str">
        <f aca="false">IF($B868="","",IF($C868&gt;=0,"Income","Expense"))</f>
        <v/>
      </c>
      <c r="F868" s="3" t="str">
        <f aca="false">IF($B868="","",IFERROR(LOOKUP(2^15,SEARCH(Rules!$A$2:$A$200&amp;"",$B868)/(Rules!$A$2:$A$200&lt;&gt;""),Rules!$A$2:$A$200),""))</f>
        <v/>
      </c>
      <c r="G868" s="3" t="str">
        <f aca="false">IF($B868="","",IF(D868="Uncategorized","⚠ Review",IF(IFERROR(LOOKUP(2^15,SEARCH(Rules!$A$2:$A$200&amp;"",$B868)/(Rules!$A$2:$A$200&lt;&gt;""),Rules!$C$2:$C$200),"")&lt;&gt;E868,"⚠ Check sign","OK")))</f>
        <v/>
      </c>
    </row>
    <row r="869" customFormat="false" ht="15" hidden="false" customHeight="false" outlineLevel="0" collapsed="false">
      <c r="A869" s="3"/>
      <c r="B869" s="3"/>
      <c r="C869" s="3"/>
      <c r="D869" s="3" t="str">
        <f aca="false">IF($B869="","",IFERROR(LOOKUP(2^15,SEARCH(Rules!$A$2:$A$200&amp;"",$B869)/(Rules!$A$2:$A$200&lt;&gt;""),Rules!$B$2:$B$200),"Uncategorized"))</f>
        <v/>
      </c>
      <c r="E869" s="3" t="str">
        <f aca="false">IF($B869="","",IF($C869&gt;=0,"Income","Expense"))</f>
        <v/>
      </c>
      <c r="F869" s="3" t="str">
        <f aca="false">IF($B869="","",IFERROR(LOOKUP(2^15,SEARCH(Rules!$A$2:$A$200&amp;"",$B869)/(Rules!$A$2:$A$200&lt;&gt;""),Rules!$A$2:$A$200),""))</f>
        <v/>
      </c>
      <c r="G869" s="3" t="str">
        <f aca="false">IF($B869="","",IF(D869="Uncategorized","⚠ Review",IF(IFERROR(LOOKUP(2^15,SEARCH(Rules!$A$2:$A$200&amp;"",$B869)/(Rules!$A$2:$A$200&lt;&gt;""),Rules!$C$2:$C$200),"")&lt;&gt;E869,"⚠ Check sign","OK")))</f>
        <v/>
      </c>
    </row>
    <row r="870" customFormat="false" ht="15" hidden="false" customHeight="false" outlineLevel="0" collapsed="false">
      <c r="A870" s="3"/>
      <c r="B870" s="3"/>
      <c r="C870" s="3"/>
      <c r="D870" s="3" t="str">
        <f aca="false">IF($B870="","",IFERROR(LOOKUP(2^15,SEARCH(Rules!$A$2:$A$200&amp;"",$B870)/(Rules!$A$2:$A$200&lt;&gt;""),Rules!$B$2:$B$200),"Uncategorized"))</f>
        <v/>
      </c>
      <c r="E870" s="3" t="str">
        <f aca="false">IF($B870="","",IF($C870&gt;=0,"Income","Expense"))</f>
        <v/>
      </c>
      <c r="F870" s="3" t="str">
        <f aca="false">IF($B870="","",IFERROR(LOOKUP(2^15,SEARCH(Rules!$A$2:$A$200&amp;"",$B870)/(Rules!$A$2:$A$200&lt;&gt;""),Rules!$A$2:$A$200),""))</f>
        <v/>
      </c>
      <c r="G870" s="3" t="str">
        <f aca="false">IF($B870="","",IF(D870="Uncategorized","⚠ Review",IF(IFERROR(LOOKUP(2^15,SEARCH(Rules!$A$2:$A$200&amp;"",$B870)/(Rules!$A$2:$A$200&lt;&gt;""),Rules!$C$2:$C$200),"")&lt;&gt;E870,"⚠ Check sign","OK")))</f>
        <v/>
      </c>
    </row>
    <row r="871" customFormat="false" ht="15" hidden="false" customHeight="false" outlineLevel="0" collapsed="false">
      <c r="A871" s="3"/>
      <c r="B871" s="3"/>
      <c r="C871" s="3"/>
      <c r="D871" s="3" t="str">
        <f aca="false">IF($B871="","",IFERROR(LOOKUP(2^15,SEARCH(Rules!$A$2:$A$200&amp;"",$B871)/(Rules!$A$2:$A$200&lt;&gt;""),Rules!$B$2:$B$200),"Uncategorized"))</f>
        <v/>
      </c>
      <c r="E871" s="3" t="str">
        <f aca="false">IF($B871="","",IF($C871&gt;=0,"Income","Expense"))</f>
        <v/>
      </c>
      <c r="F871" s="3" t="str">
        <f aca="false">IF($B871="","",IFERROR(LOOKUP(2^15,SEARCH(Rules!$A$2:$A$200&amp;"",$B871)/(Rules!$A$2:$A$200&lt;&gt;""),Rules!$A$2:$A$200),""))</f>
        <v/>
      </c>
      <c r="G871" s="3" t="str">
        <f aca="false">IF($B871="","",IF(D871="Uncategorized","⚠ Review",IF(IFERROR(LOOKUP(2^15,SEARCH(Rules!$A$2:$A$200&amp;"",$B871)/(Rules!$A$2:$A$200&lt;&gt;""),Rules!$C$2:$C$200),"")&lt;&gt;E871,"⚠ Check sign","OK")))</f>
        <v/>
      </c>
    </row>
    <row r="872" customFormat="false" ht="15" hidden="false" customHeight="false" outlineLevel="0" collapsed="false">
      <c r="A872" s="3"/>
      <c r="B872" s="3"/>
      <c r="C872" s="3"/>
      <c r="D872" s="3" t="str">
        <f aca="false">IF($B872="","",IFERROR(LOOKUP(2^15,SEARCH(Rules!$A$2:$A$200&amp;"",$B872)/(Rules!$A$2:$A$200&lt;&gt;""),Rules!$B$2:$B$200),"Uncategorized"))</f>
        <v/>
      </c>
      <c r="E872" s="3" t="str">
        <f aca="false">IF($B872="","",IF($C872&gt;=0,"Income","Expense"))</f>
        <v/>
      </c>
      <c r="F872" s="3" t="str">
        <f aca="false">IF($B872="","",IFERROR(LOOKUP(2^15,SEARCH(Rules!$A$2:$A$200&amp;"",$B872)/(Rules!$A$2:$A$200&lt;&gt;""),Rules!$A$2:$A$200),""))</f>
        <v/>
      </c>
      <c r="G872" s="3" t="str">
        <f aca="false">IF($B872="","",IF(D872="Uncategorized","⚠ Review",IF(IFERROR(LOOKUP(2^15,SEARCH(Rules!$A$2:$A$200&amp;"",$B872)/(Rules!$A$2:$A$200&lt;&gt;""),Rules!$C$2:$C$200),"")&lt;&gt;E872,"⚠ Check sign","OK")))</f>
        <v/>
      </c>
    </row>
    <row r="873" customFormat="false" ht="15" hidden="false" customHeight="false" outlineLevel="0" collapsed="false">
      <c r="A873" s="3"/>
      <c r="B873" s="3"/>
      <c r="C873" s="3"/>
      <c r="D873" s="3" t="str">
        <f aca="false">IF($B873="","",IFERROR(LOOKUP(2^15,SEARCH(Rules!$A$2:$A$200&amp;"",$B873)/(Rules!$A$2:$A$200&lt;&gt;""),Rules!$B$2:$B$200),"Uncategorized"))</f>
        <v/>
      </c>
      <c r="E873" s="3" t="str">
        <f aca="false">IF($B873="","",IF($C873&gt;=0,"Income","Expense"))</f>
        <v/>
      </c>
      <c r="F873" s="3" t="str">
        <f aca="false">IF($B873="","",IFERROR(LOOKUP(2^15,SEARCH(Rules!$A$2:$A$200&amp;"",$B873)/(Rules!$A$2:$A$200&lt;&gt;""),Rules!$A$2:$A$200),""))</f>
        <v/>
      </c>
      <c r="G873" s="3" t="str">
        <f aca="false">IF($B873="","",IF(D873="Uncategorized","⚠ Review",IF(IFERROR(LOOKUP(2^15,SEARCH(Rules!$A$2:$A$200&amp;"",$B873)/(Rules!$A$2:$A$200&lt;&gt;""),Rules!$C$2:$C$200),"")&lt;&gt;E873,"⚠ Check sign","OK")))</f>
        <v/>
      </c>
    </row>
    <row r="874" customFormat="false" ht="15" hidden="false" customHeight="false" outlineLevel="0" collapsed="false">
      <c r="A874" s="3"/>
      <c r="B874" s="3"/>
      <c r="C874" s="3"/>
      <c r="D874" s="3" t="str">
        <f aca="false">IF($B874="","",IFERROR(LOOKUP(2^15,SEARCH(Rules!$A$2:$A$200&amp;"",$B874)/(Rules!$A$2:$A$200&lt;&gt;""),Rules!$B$2:$B$200),"Uncategorized"))</f>
        <v/>
      </c>
      <c r="E874" s="3" t="str">
        <f aca="false">IF($B874="","",IF($C874&gt;=0,"Income","Expense"))</f>
        <v/>
      </c>
      <c r="F874" s="3" t="str">
        <f aca="false">IF($B874="","",IFERROR(LOOKUP(2^15,SEARCH(Rules!$A$2:$A$200&amp;"",$B874)/(Rules!$A$2:$A$200&lt;&gt;""),Rules!$A$2:$A$200),""))</f>
        <v/>
      </c>
      <c r="G874" s="3" t="str">
        <f aca="false">IF($B874="","",IF(D874="Uncategorized","⚠ Review",IF(IFERROR(LOOKUP(2^15,SEARCH(Rules!$A$2:$A$200&amp;"",$B874)/(Rules!$A$2:$A$200&lt;&gt;""),Rules!$C$2:$C$200),"")&lt;&gt;E874,"⚠ Check sign","OK")))</f>
        <v/>
      </c>
    </row>
    <row r="875" customFormat="false" ht="15" hidden="false" customHeight="false" outlineLevel="0" collapsed="false">
      <c r="A875" s="3"/>
      <c r="B875" s="3"/>
      <c r="C875" s="3"/>
      <c r="D875" s="3" t="str">
        <f aca="false">IF($B875="","",IFERROR(LOOKUP(2^15,SEARCH(Rules!$A$2:$A$200&amp;"",$B875)/(Rules!$A$2:$A$200&lt;&gt;""),Rules!$B$2:$B$200),"Uncategorized"))</f>
        <v/>
      </c>
      <c r="E875" s="3" t="str">
        <f aca="false">IF($B875="","",IF($C875&gt;=0,"Income","Expense"))</f>
        <v/>
      </c>
      <c r="F875" s="3" t="str">
        <f aca="false">IF($B875="","",IFERROR(LOOKUP(2^15,SEARCH(Rules!$A$2:$A$200&amp;"",$B875)/(Rules!$A$2:$A$200&lt;&gt;""),Rules!$A$2:$A$200),""))</f>
        <v/>
      </c>
      <c r="G875" s="3" t="str">
        <f aca="false">IF($B875="","",IF(D875="Uncategorized","⚠ Review",IF(IFERROR(LOOKUP(2^15,SEARCH(Rules!$A$2:$A$200&amp;"",$B875)/(Rules!$A$2:$A$200&lt;&gt;""),Rules!$C$2:$C$200),"")&lt;&gt;E875,"⚠ Check sign","OK")))</f>
        <v/>
      </c>
    </row>
    <row r="876" customFormat="false" ht="15" hidden="false" customHeight="false" outlineLevel="0" collapsed="false">
      <c r="A876" s="3"/>
      <c r="B876" s="3"/>
      <c r="C876" s="3"/>
      <c r="D876" s="3" t="str">
        <f aca="false">IF($B876="","",IFERROR(LOOKUP(2^15,SEARCH(Rules!$A$2:$A$200&amp;"",$B876)/(Rules!$A$2:$A$200&lt;&gt;""),Rules!$B$2:$B$200),"Uncategorized"))</f>
        <v/>
      </c>
      <c r="E876" s="3" t="str">
        <f aca="false">IF($B876="","",IF($C876&gt;=0,"Income","Expense"))</f>
        <v/>
      </c>
      <c r="F876" s="3" t="str">
        <f aca="false">IF($B876="","",IFERROR(LOOKUP(2^15,SEARCH(Rules!$A$2:$A$200&amp;"",$B876)/(Rules!$A$2:$A$200&lt;&gt;""),Rules!$A$2:$A$200),""))</f>
        <v/>
      </c>
      <c r="G876" s="3" t="str">
        <f aca="false">IF($B876="","",IF(D876="Uncategorized","⚠ Review",IF(IFERROR(LOOKUP(2^15,SEARCH(Rules!$A$2:$A$200&amp;"",$B876)/(Rules!$A$2:$A$200&lt;&gt;""),Rules!$C$2:$C$200),"")&lt;&gt;E876,"⚠ Check sign","OK")))</f>
        <v/>
      </c>
    </row>
    <row r="877" customFormat="false" ht="15" hidden="false" customHeight="false" outlineLevel="0" collapsed="false">
      <c r="A877" s="3"/>
      <c r="B877" s="3"/>
      <c r="C877" s="3"/>
      <c r="D877" s="3" t="str">
        <f aca="false">IF($B877="","",IFERROR(LOOKUP(2^15,SEARCH(Rules!$A$2:$A$200&amp;"",$B877)/(Rules!$A$2:$A$200&lt;&gt;""),Rules!$B$2:$B$200),"Uncategorized"))</f>
        <v/>
      </c>
      <c r="E877" s="3" t="str">
        <f aca="false">IF($B877="","",IF($C877&gt;=0,"Income","Expense"))</f>
        <v/>
      </c>
      <c r="F877" s="3" t="str">
        <f aca="false">IF($B877="","",IFERROR(LOOKUP(2^15,SEARCH(Rules!$A$2:$A$200&amp;"",$B877)/(Rules!$A$2:$A$200&lt;&gt;""),Rules!$A$2:$A$200),""))</f>
        <v/>
      </c>
      <c r="G877" s="3" t="str">
        <f aca="false">IF($B877="","",IF(D877="Uncategorized","⚠ Review",IF(IFERROR(LOOKUP(2^15,SEARCH(Rules!$A$2:$A$200&amp;"",$B877)/(Rules!$A$2:$A$200&lt;&gt;""),Rules!$C$2:$C$200),"")&lt;&gt;E877,"⚠ Check sign","OK")))</f>
        <v/>
      </c>
    </row>
    <row r="878" customFormat="false" ht="15" hidden="false" customHeight="false" outlineLevel="0" collapsed="false">
      <c r="A878" s="3"/>
      <c r="B878" s="3"/>
      <c r="C878" s="3"/>
      <c r="D878" s="3" t="str">
        <f aca="false">IF($B878="","",IFERROR(LOOKUP(2^15,SEARCH(Rules!$A$2:$A$200&amp;"",$B878)/(Rules!$A$2:$A$200&lt;&gt;""),Rules!$B$2:$B$200),"Uncategorized"))</f>
        <v/>
      </c>
      <c r="E878" s="3" t="str">
        <f aca="false">IF($B878="","",IF($C878&gt;=0,"Income","Expense"))</f>
        <v/>
      </c>
      <c r="F878" s="3" t="str">
        <f aca="false">IF($B878="","",IFERROR(LOOKUP(2^15,SEARCH(Rules!$A$2:$A$200&amp;"",$B878)/(Rules!$A$2:$A$200&lt;&gt;""),Rules!$A$2:$A$200),""))</f>
        <v/>
      </c>
      <c r="G878" s="3" t="str">
        <f aca="false">IF($B878="","",IF(D878="Uncategorized","⚠ Review",IF(IFERROR(LOOKUP(2^15,SEARCH(Rules!$A$2:$A$200&amp;"",$B878)/(Rules!$A$2:$A$200&lt;&gt;""),Rules!$C$2:$C$200),"")&lt;&gt;E878,"⚠ Check sign","OK")))</f>
        <v/>
      </c>
    </row>
    <row r="879" customFormat="false" ht="15" hidden="false" customHeight="false" outlineLevel="0" collapsed="false">
      <c r="A879" s="3"/>
      <c r="B879" s="3"/>
      <c r="C879" s="3"/>
      <c r="D879" s="3" t="str">
        <f aca="false">IF($B879="","",IFERROR(LOOKUP(2^15,SEARCH(Rules!$A$2:$A$200&amp;"",$B879)/(Rules!$A$2:$A$200&lt;&gt;""),Rules!$B$2:$B$200),"Uncategorized"))</f>
        <v/>
      </c>
      <c r="E879" s="3" t="str">
        <f aca="false">IF($B879="","",IF($C879&gt;=0,"Income","Expense"))</f>
        <v/>
      </c>
      <c r="F879" s="3" t="str">
        <f aca="false">IF($B879="","",IFERROR(LOOKUP(2^15,SEARCH(Rules!$A$2:$A$200&amp;"",$B879)/(Rules!$A$2:$A$200&lt;&gt;""),Rules!$A$2:$A$200),""))</f>
        <v/>
      </c>
      <c r="G879" s="3" t="str">
        <f aca="false">IF($B879="","",IF(D879="Uncategorized","⚠ Review",IF(IFERROR(LOOKUP(2^15,SEARCH(Rules!$A$2:$A$200&amp;"",$B879)/(Rules!$A$2:$A$200&lt;&gt;""),Rules!$C$2:$C$200),"")&lt;&gt;E879,"⚠ Check sign","OK")))</f>
        <v/>
      </c>
    </row>
    <row r="880" customFormat="false" ht="15" hidden="false" customHeight="false" outlineLevel="0" collapsed="false">
      <c r="A880" s="3"/>
      <c r="B880" s="3"/>
      <c r="C880" s="3"/>
      <c r="D880" s="3" t="str">
        <f aca="false">IF($B880="","",IFERROR(LOOKUP(2^15,SEARCH(Rules!$A$2:$A$200&amp;"",$B880)/(Rules!$A$2:$A$200&lt;&gt;""),Rules!$B$2:$B$200),"Uncategorized"))</f>
        <v/>
      </c>
      <c r="E880" s="3" t="str">
        <f aca="false">IF($B880="","",IF($C880&gt;=0,"Income","Expense"))</f>
        <v/>
      </c>
      <c r="F880" s="3" t="str">
        <f aca="false">IF($B880="","",IFERROR(LOOKUP(2^15,SEARCH(Rules!$A$2:$A$200&amp;"",$B880)/(Rules!$A$2:$A$200&lt;&gt;""),Rules!$A$2:$A$200),""))</f>
        <v/>
      </c>
      <c r="G880" s="3" t="str">
        <f aca="false">IF($B880="","",IF(D880="Uncategorized","⚠ Review",IF(IFERROR(LOOKUP(2^15,SEARCH(Rules!$A$2:$A$200&amp;"",$B880)/(Rules!$A$2:$A$200&lt;&gt;""),Rules!$C$2:$C$200),"")&lt;&gt;E880,"⚠ Check sign","OK")))</f>
        <v/>
      </c>
    </row>
    <row r="881" customFormat="false" ht="15" hidden="false" customHeight="false" outlineLevel="0" collapsed="false">
      <c r="A881" s="3"/>
      <c r="B881" s="3"/>
      <c r="C881" s="3"/>
      <c r="D881" s="3" t="str">
        <f aca="false">IF($B881="","",IFERROR(LOOKUP(2^15,SEARCH(Rules!$A$2:$A$200&amp;"",$B881)/(Rules!$A$2:$A$200&lt;&gt;""),Rules!$B$2:$B$200),"Uncategorized"))</f>
        <v/>
      </c>
      <c r="E881" s="3" t="str">
        <f aca="false">IF($B881="","",IF($C881&gt;=0,"Income","Expense"))</f>
        <v/>
      </c>
      <c r="F881" s="3" t="str">
        <f aca="false">IF($B881="","",IFERROR(LOOKUP(2^15,SEARCH(Rules!$A$2:$A$200&amp;"",$B881)/(Rules!$A$2:$A$200&lt;&gt;""),Rules!$A$2:$A$200),""))</f>
        <v/>
      </c>
      <c r="G881" s="3" t="str">
        <f aca="false">IF($B881="","",IF(D881="Uncategorized","⚠ Review",IF(IFERROR(LOOKUP(2^15,SEARCH(Rules!$A$2:$A$200&amp;"",$B881)/(Rules!$A$2:$A$200&lt;&gt;""),Rules!$C$2:$C$200),"")&lt;&gt;E881,"⚠ Check sign","OK")))</f>
        <v/>
      </c>
    </row>
    <row r="882" customFormat="false" ht="15" hidden="false" customHeight="false" outlineLevel="0" collapsed="false">
      <c r="A882" s="3"/>
      <c r="B882" s="3"/>
      <c r="C882" s="3"/>
      <c r="D882" s="3" t="str">
        <f aca="false">IF($B882="","",IFERROR(LOOKUP(2^15,SEARCH(Rules!$A$2:$A$200&amp;"",$B882)/(Rules!$A$2:$A$200&lt;&gt;""),Rules!$B$2:$B$200),"Uncategorized"))</f>
        <v/>
      </c>
      <c r="E882" s="3" t="str">
        <f aca="false">IF($B882="","",IF($C882&gt;=0,"Income","Expense"))</f>
        <v/>
      </c>
      <c r="F882" s="3" t="str">
        <f aca="false">IF($B882="","",IFERROR(LOOKUP(2^15,SEARCH(Rules!$A$2:$A$200&amp;"",$B882)/(Rules!$A$2:$A$200&lt;&gt;""),Rules!$A$2:$A$200),""))</f>
        <v/>
      </c>
      <c r="G882" s="3" t="str">
        <f aca="false">IF($B882="","",IF(D882="Uncategorized","⚠ Review",IF(IFERROR(LOOKUP(2^15,SEARCH(Rules!$A$2:$A$200&amp;"",$B882)/(Rules!$A$2:$A$200&lt;&gt;""),Rules!$C$2:$C$200),"")&lt;&gt;E882,"⚠ Check sign","OK")))</f>
        <v/>
      </c>
    </row>
    <row r="883" customFormat="false" ht="15" hidden="false" customHeight="false" outlineLevel="0" collapsed="false">
      <c r="A883" s="3"/>
      <c r="B883" s="3"/>
      <c r="C883" s="3"/>
      <c r="D883" s="3" t="str">
        <f aca="false">IF($B883="","",IFERROR(LOOKUP(2^15,SEARCH(Rules!$A$2:$A$200&amp;"",$B883)/(Rules!$A$2:$A$200&lt;&gt;""),Rules!$B$2:$B$200),"Uncategorized"))</f>
        <v/>
      </c>
      <c r="E883" s="3" t="str">
        <f aca="false">IF($B883="","",IF($C883&gt;=0,"Income","Expense"))</f>
        <v/>
      </c>
      <c r="F883" s="3" t="str">
        <f aca="false">IF($B883="","",IFERROR(LOOKUP(2^15,SEARCH(Rules!$A$2:$A$200&amp;"",$B883)/(Rules!$A$2:$A$200&lt;&gt;""),Rules!$A$2:$A$200),""))</f>
        <v/>
      </c>
      <c r="G883" s="3" t="str">
        <f aca="false">IF($B883="","",IF(D883="Uncategorized","⚠ Review",IF(IFERROR(LOOKUP(2^15,SEARCH(Rules!$A$2:$A$200&amp;"",$B883)/(Rules!$A$2:$A$200&lt;&gt;""),Rules!$C$2:$C$200),"")&lt;&gt;E883,"⚠ Check sign","OK")))</f>
        <v/>
      </c>
    </row>
    <row r="884" customFormat="false" ht="15" hidden="false" customHeight="false" outlineLevel="0" collapsed="false">
      <c r="A884" s="3"/>
      <c r="B884" s="3"/>
      <c r="C884" s="3"/>
      <c r="D884" s="3" t="str">
        <f aca="false">IF($B884="","",IFERROR(LOOKUP(2^15,SEARCH(Rules!$A$2:$A$200&amp;"",$B884)/(Rules!$A$2:$A$200&lt;&gt;""),Rules!$B$2:$B$200),"Uncategorized"))</f>
        <v/>
      </c>
      <c r="E884" s="3" t="str">
        <f aca="false">IF($B884="","",IF($C884&gt;=0,"Income","Expense"))</f>
        <v/>
      </c>
      <c r="F884" s="3" t="str">
        <f aca="false">IF($B884="","",IFERROR(LOOKUP(2^15,SEARCH(Rules!$A$2:$A$200&amp;"",$B884)/(Rules!$A$2:$A$200&lt;&gt;""),Rules!$A$2:$A$200),""))</f>
        <v/>
      </c>
      <c r="G884" s="3" t="str">
        <f aca="false">IF($B884="","",IF(D884="Uncategorized","⚠ Review",IF(IFERROR(LOOKUP(2^15,SEARCH(Rules!$A$2:$A$200&amp;"",$B884)/(Rules!$A$2:$A$200&lt;&gt;""),Rules!$C$2:$C$200),"")&lt;&gt;E884,"⚠ Check sign","OK")))</f>
        <v/>
      </c>
    </row>
    <row r="885" customFormat="false" ht="15" hidden="false" customHeight="false" outlineLevel="0" collapsed="false">
      <c r="A885" s="3"/>
      <c r="B885" s="3"/>
      <c r="C885" s="3"/>
      <c r="D885" s="3" t="str">
        <f aca="false">IF($B885="","",IFERROR(LOOKUP(2^15,SEARCH(Rules!$A$2:$A$200&amp;"",$B885)/(Rules!$A$2:$A$200&lt;&gt;""),Rules!$B$2:$B$200),"Uncategorized"))</f>
        <v/>
      </c>
      <c r="E885" s="3" t="str">
        <f aca="false">IF($B885="","",IF($C885&gt;=0,"Income","Expense"))</f>
        <v/>
      </c>
      <c r="F885" s="3" t="str">
        <f aca="false">IF($B885="","",IFERROR(LOOKUP(2^15,SEARCH(Rules!$A$2:$A$200&amp;"",$B885)/(Rules!$A$2:$A$200&lt;&gt;""),Rules!$A$2:$A$200),""))</f>
        <v/>
      </c>
      <c r="G885" s="3" t="str">
        <f aca="false">IF($B885="","",IF(D885="Uncategorized","⚠ Review",IF(IFERROR(LOOKUP(2^15,SEARCH(Rules!$A$2:$A$200&amp;"",$B885)/(Rules!$A$2:$A$200&lt;&gt;""),Rules!$C$2:$C$200),"")&lt;&gt;E885,"⚠ Check sign","OK")))</f>
        <v/>
      </c>
    </row>
    <row r="886" customFormat="false" ht="15" hidden="false" customHeight="false" outlineLevel="0" collapsed="false">
      <c r="A886" s="3"/>
      <c r="B886" s="3"/>
      <c r="C886" s="3"/>
      <c r="D886" s="3" t="str">
        <f aca="false">IF($B886="","",IFERROR(LOOKUP(2^15,SEARCH(Rules!$A$2:$A$200&amp;"",$B886)/(Rules!$A$2:$A$200&lt;&gt;""),Rules!$B$2:$B$200),"Uncategorized"))</f>
        <v/>
      </c>
      <c r="E886" s="3" t="str">
        <f aca="false">IF($B886="","",IF($C886&gt;=0,"Income","Expense"))</f>
        <v/>
      </c>
      <c r="F886" s="3" t="str">
        <f aca="false">IF($B886="","",IFERROR(LOOKUP(2^15,SEARCH(Rules!$A$2:$A$200&amp;"",$B886)/(Rules!$A$2:$A$200&lt;&gt;""),Rules!$A$2:$A$200),""))</f>
        <v/>
      </c>
      <c r="G886" s="3" t="str">
        <f aca="false">IF($B886="","",IF(D886="Uncategorized","⚠ Review",IF(IFERROR(LOOKUP(2^15,SEARCH(Rules!$A$2:$A$200&amp;"",$B886)/(Rules!$A$2:$A$200&lt;&gt;""),Rules!$C$2:$C$200),"")&lt;&gt;E886,"⚠ Check sign","OK")))</f>
        <v/>
      </c>
    </row>
    <row r="887" customFormat="false" ht="15" hidden="false" customHeight="false" outlineLevel="0" collapsed="false">
      <c r="A887" s="3"/>
      <c r="B887" s="3"/>
      <c r="C887" s="3"/>
      <c r="D887" s="3" t="str">
        <f aca="false">IF($B887="","",IFERROR(LOOKUP(2^15,SEARCH(Rules!$A$2:$A$200&amp;"",$B887)/(Rules!$A$2:$A$200&lt;&gt;""),Rules!$B$2:$B$200),"Uncategorized"))</f>
        <v/>
      </c>
      <c r="E887" s="3" t="str">
        <f aca="false">IF($B887="","",IF($C887&gt;=0,"Income","Expense"))</f>
        <v/>
      </c>
      <c r="F887" s="3" t="str">
        <f aca="false">IF($B887="","",IFERROR(LOOKUP(2^15,SEARCH(Rules!$A$2:$A$200&amp;"",$B887)/(Rules!$A$2:$A$200&lt;&gt;""),Rules!$A$2:$A$200),""))</f>
        <v/>
      </c>
      <c r="G887" s="3" t="str">
        <f aca="false">IF($B887="","",IF(D887="Uncategorized","⚠ Review",IF(IFERROR(LOOKUP(2^15,SEARCH(Rules!$A$2:$A$200&amp;"",$B887)/(Rules!$A$2:$A$200&lt;&gt;""),Rules!$C$2:$C$200),"")&lt;&gt;E887,"⚠ Check sign","OK")))</f>
        <v/>
      </c>
    </row>
    <row r="888" customFormat="false" ht="15" hidden="false" customHeight="false" outlineLevel="0" collapsed="false">
      <c r="A888" s="3"/>
      <c r="B888" s="3"/>
      <c r="C888" s="3"/>
      <c r="D888" s="3" t="str">
        <f aca="false">IF($B888="","",IFERROR(LOOKUP(2^15,SEARCH(Rules!$A$2:$A$200&amp;"",$B888)/(Rules!$A$2:$A$200&lt;&gt;""),Rules!$B$2:$B$200),"Uncategorized"))</f>
        <v/>
      </c>
      <c r="E888" s="3" t="str">
        <f aca="false">IF($B888="","",IF($C888&gt;=0,"Income","Expense"))</f>
        <v/>
      </c>
      <c r="F888" s="3" t="str">
        <f aca="false">IF($B888="","",IFERROR(LOOKUP(2^15,SEARCH(Rules!$A$2:$A$200&amp;"",$B888)/(Rules!$A$2:$A$200&lt;&gt;""),Rules!$A$2:$A$200),""))</f>
        <v/>
      </c>
      <c r="G888" s="3" t="str">
        <f aca="false">IF($B888="","",IF(D888="Uncategorized","⚠ Review",IF(IFERROR(LOOKUP(2^15,SEARCH(Rules!$A$2:$A$200&amp;"",$B888)/(Rules!$A$2:$A$200&lt;&gt;""),Rules!$C$2:$C$200),"")&lt;&gt;E888,"⚠ Check sign","OK")))</f>
        <v/>
      </c>
    </row>
    <row r="889" customFormat="false" ht="15" hidden="false" customHeight="false" outlineLevel="0" collapsed="false">
      <c r="A889" s="3"/>
      <c r="B889" s="3"/>
      <c r="C889" s="3"/>
      <c r="D889" s="3" t="str">
        <f aca="false">IF($B889="","",IFERROR(LOOKUP(2^15,SEARCH(Rules!$A$2:$A$200&amp;"",$B889)/(Rules!$A$2:$A$200&lt;&gt;""),Rules!$B$2:$B$200),"Uncategorized"))</f>
        <v/>
      </c>
      <c r="E889" s="3" t="str">
        <f aca="false">IF($B889="","",IF($C889&gt;=0,"Income","Expense"))</f>
        <v/>
      </c>
      <c r="F889" s="3" t="str">
        <f aca="false">IF($B889="","",IFERROR(LOOKUP(2^15,SEARCH(Rules!$A$2:$A$200&amp;"",$B889)/(Rules!$A$2:$A$200&lt;&gt;""),Rules!$A$2:$A$200),""))</f>
        <v/>
      </c>
      <c r="G889" s="3" t="str">
        <f aca="false">IF($B889="","",IF(D889="Uncategorized","⚠ Review",IF(IFERROR(LOOKUP(2^15,SEARCH(Rules!$A$2:$A$200&amp;"",$B889)/(Rules!$A$2:$A$200&lt;&gt;""),Rules!$C$2:$C$200),"")&lt;&gt;E889,"⚠ Check sign","OK")))</f>
        <v/>
      </c>
    </row>
    <row r="890" customFormat="false" ht="15" hidden="false" customHeight="false" outlineLevel="0" collapsed="false">
      <c r="A890" s="3"/>
      <c r="B890" s="3"/>
      <c r="C890" s="3"/>
      <c r="D890" s="3" t="str">
        <f aca="false">IF($B890="","",IFERROR(LOOKUP(2^15,SEARCH(Rules!$A$2:$A$200&amp;"",$B890)/(Rules!$A$2:$A$200&lt;&gt;""),Rules!$B$2:$B$200),"Uncategorized"))</f>
        <v/>
      </c>
      <c r="E890" s="3" t="str">
        <f aca="false">IF($B890="","",IF($C890&gt;=0,"Income","Expense"))</f>
        <v/>
      </c>
      <c r="F890" s="3" t="str">
        <f aca="false">IF($B890="","",IFERROR(LOOKUP(2^15,SEARCH(Rules!$A$2:$A$200&amp;"",$B890)/(Rules!$A$2:$A$200&lt;&gt;""),Rules!$A$2:$A$200),""))</f>
        <v/>
      </c>
      <c r="G890" s="3" t="str">
        <f aca="false">IF($B890="","",IF(D890="Uncategorized","⚠ Review",IF(IFERROR(LOOKUP(2^15,SEARCH(Rules!$A$2:$A$200&amp;"",$B890)/(Rules!$A$2:$A$200&lt;&gt;""),Rules!$C$2:$C$200),"")&lt;&gt;E890,"⚠ Check sign","OK")))</f>
        <v/>
      </c>
    </row>
    <row r="891" customFormat="false" ht="15" hidden="false" customHeight="false" outlineLevel="0" collapsed="false">
      <c r="A891" s="3"/>
      <c r="B891" s="3"/>
      <c r="C891" s="3"/>
      <c r="D891" s="3" t="str">
        <f aca="false">IF($B891="","",IFERROR(LOOKUP(2^15,SEARCH(Rules!$A$2:$A$200&amp;"",$B891)/(Rules!$A$2:$A$200&lt;&gt;""),Rules!$B$2:$B$200),"Uncategorized"))</f>
        <v/>
      </c>
      <c r="E891" s="3" t="str">
        <f aca="false">IF($B891="","",IF($C891&gt;=0,"Income","Expense"))</f>
        <v/>
      </c>
      <c r="F891" s="3" t="str">
        <f aca="false">IF($B891="","",IFERROR(LOOKUP(2^15,SEARCH(Rules!$A$2:$A$200&amp;"",$B891)/(Rules!$A$2:$A$200&lt;&gt;""),Rules!$A$2:$A$200),""))</f>
        <v/>
      </c>
      <c r="G891" s="3" t="str">
        <f aca="false">IF($B891="","",IF(D891="Uncategorized","⚠ Review",IF(IFERROR(LOOKUP(2^15,SEARCH(Rules!$A$2:$A$200&amp;"",$B891)/(Rules!$A$2:$A$200&lt;&gt;""),Rules!$C$2:$C$200),"")&lt;&gt;E891,"⚠ Check sign","OK")))</f>
        <v/>
      </c>
    </row>
    <row r="892" customFormat="false" ht="15" hidden="false" customHeight="false" outlineLevel="0" collapsed="false">
      <c r="A892" s="3"/>
      <c r="B892" s="3"/>
      <c r="C892" s="3"/>
      <c r="D892" s="3" t="str">
        <f aca="false">IF($B892="","",IFERROR(LOOKUP(2^15,SEARCH(Rules!$A$2:$A$200&amp;"",$B892)/(Rules!$A$2:$A$200&lt;&gt;""),Rules!$B$2:$B$200),"Uncategorized"))</f>
        <v/>
      </c>
      <c r="E892" s="3" t="str">
        <f aca="false">IF($B892="","",IF($C892&gt;=0,"Income","Expense"))</f>
        <v/>
      </c>
      <c r="F892" s="3" t="str">
        <f aca="false">IF($B892="","",IFERROR(LOOKUP(2^15,SEARCH(Rules!$A$2:$A$200&amp;"",$B892)/(Rules!$A$2:$A$200&lt;&gt;""),Rules!$A$2:$A$200),""))</f>
        <v/>
      </c>
      <c r="G892" s="3" t="str">
        <f aca="false">IF($B892="","",IF(D892="Uncategorized","⚠ Review",IF(IFERROR(LOOKUP(2^15,SEARCH(Rules!$A$2:$A$200&amp;"",$B892)/(Rules!$A$2:$A$200&lt;&gt;""),Rules!$C$2:$C$200),"")&lt;&gt;E892,"⚠ Check sign","OK")))</f>
        <v/>
      </c>
    </row>
    <row r="893" customFormat="false" ht="15" hidden="false" customHeight="false" outlineLevel="0" collapsed="false">
      <c r="A893" s="3"/>
      <c r="B893" s="3"/>
      <c r="C893" s="3"/>
      <c r="D893" s="3" t="str">
        <f aca="false">IF($B893="","",IFERROR(LOOKUP(2^15,SEARCH(Rules!$A$2:$A$200&amp;"",$B893)/(Rules!$A$2:$A$200&lt;&gt;""),Rules!$B$2:$B$200),"Uncategorized"))</f>
        <v/>
      </c>
      <c r="E893" s="3" t="str">
        <f aca="false">IF($B893="","",IF($C893&gt;=0,"Income","Expense"))</f>
        <v/>
      </c>
      <c r="F893" s="3" t="str">
        <f aca="false">IF($B893="","",IFERROR(LOOKUP(2^15,SEARCH(Rules!$A$2:$A$200&amp;"",$B893)/(Rules!$A$2:$A$200&lt;&gt;""),Rules!$A$2:$A$200),""))</f>
        <v/>
      </c>
      <c r="G893" s="3" t="str">
        <f aca="false">IF($B893="","",IF(D893="Uncategorized","⚠ Review",IF(IFERROR(LOOKUP(2^15,SEARCH(Rules!$A$2:$A$200&amp;"",$B893)/(Rules!$A$2:$A$200&lt;&gt;""),Rules!$C$2:$C$200),"")&lt;&gt;E893,"⚠ Check sign","OK")))</f>
        <v/>
      </c>
    </row>
    <row r="894" customFormat="false" ht="15" hidden="false" customHeight="false" outlineLevel="0" collapsed="false">
      <c r="A894" s="3"/>
      <c r="B894" s="3"/>
      <c r="C894" s="3"/>
      <c r="D894" s="3" t="str">
        <f aca="false">IF($B894="","",IFERROR(LOOKUP(2^15,SEARCH(Rules!$A$2:$A$200&amp;"",$B894)/(Rules!$A$2:$A$200&lt;&gt;""),Rules!$B$2:$B$200),"Uncategorized"))</f>
        <v/>
      </c>
      <c r="E894" s="3" t="str">
        <f aca="false">IF($B894="","",IF($C894&gt;=0,"Income","Expense"))</f>
        <v/>
      </c>
      <c r="F894" s="3" t="str">
        <f aca="false">IF($B894="","",IFERROR(LOOKUP(2^15,SEARCH(Rules!$A$2:$A$200&amp;"",$B894)/(Rules!$A$2:$A$200&lt;&gt;""),Rules!$A$2:$A$200),""))</f>
        <v/>
      </c>
      <c r="G894" s="3" t="str">
        <f aca="false">IF($B894="","",IF(D894="Uncategorized","⚠ Review",IF(IFERROR(LOOKUP(2^15,SEARCH(Rules!$A$2:$A$200&amp;"",$B894)/(Rules!$A$2:$A$200&lt;&gt;""),Rules!$C$2:$C$200),"")&lt;&gt;E894,"⚠ Check sign","OK")))</f>
        <v/>
      </c>
    </row>
    <row r="895" customFormat="false" ht="15" hidden="false" customHeight="false" outlineLevel="0" collapsed="false">
      <c r="A895" s="3"/>
      <c r="B895" s="3"/>
      <c r="C895" s="3"/>
      <c r="D895" s="3" t="str">
        <f aca="false">IF($B895="","",IFERROR(LOOKUP(2^15,SEARCH(Rules!$A$2:$A$200&amp;"",$B895)/(Rules!$A$2:$A$200&lt;&gt;""),Rules!$B$2:$B$200),"Uncategorized"))</f>
        <v/>
      </c>
      <c r="E895" s="3" t="str">
        <f aca="false">IF($B895="","",IF($C895&gt;=0,"Income","Expense"))</f>
        <v/>
      </c>
      <c r="F895" s="3" t="str">
        <f aca="false">IF($B895="","",IFERROR(LOOKUP(2^15,SEARCH(Rules!$A$2:$A$200&amp;"",$B895)/(Rules!$A$2:$A$200&lt;&gt;""),Rules!$A$2:$A$200),""))</f>
        <v/>
      </c>
      <c r="G895" s="3" t="str">
        <f aca="false">IF($B895="","",IF(D895="Uncategorized","⚠ Review",IF(IFERROR(LOOKUP(2^15,SEARCH(Rules!$A$2:$A$200&amp;"",$B895)/(Rules!$A$2:$A$200&lt;&gt;""),Rules!$C$2:$C$200),"")&lt;&gt;E895,"⚠ Check sign","OK")))</f>
        <v/>
      </c>
    </row>
    <row r="896" customFormat="false" ht="15" hidden="false" customHeight="false" outlineLevel="0" collapsed="false">
      <c r="A896" s="3"/>
      <c r="B896" s="3"/>
      <c r="C896" s="3"/>
      <c r="D896" s="3" t="str">
        <f aca="false">IF($B896="","",IFERROR(LOOKUP(2^15,SEARCH(Rules!$A$2:$A$200&amp;"",$B896)/(Rules!$A$2:$A$200&lt;&gt;""),Rules!$B$2:$B$200),"Uncategorized"))</f>
        <v/>
      </c>
      <c r="E896" s="3" t="str">
        <f aca="false">IF($B896="","",IF($C896&gt;=0,"Income","Expense"))</f>
        <v/>
      </c>
      <c r="F896" s="3" t="str">
        <f aca="false">IF($B896="","",IFERROR(LOOKUP(2^15,SEARCH(Rules!$A$2:$A$200&amp;"",$B896)/(Rules!$A$2:$A$200&lt;&gt;""),Rules!$A$2:$A$200),""))</f>
        <v/>
      </c>
      <c r="G896" s="3" t="str">
        <f aca="false">IF($B896="","",IF(D896="Uncategorized","⚠ Review",IF(IFERROR(LOOKUP(2^15,SEARCH(Rules!$A$2:$A$200&amp;"",$B896)/(Rules!$A$2:$A$200&lt;&gt;""),Rules!$C$2:$C$200),"")&lt;&gt;E896,"⚠ Check sign","OK")))</f>
        <v/>
      </c>
    </row>
    <row r="897" customFormat="false" ht="15" hidden="false" customHeight="false" outlineLevel="0" collapsed="false">
      <c r="A897" s="3"/>
      <c r="B897" s="3"/>
      <c r="C897" s="3"/>
      <c r="D897" s="3" t="str">
        <f aca="false">IF($B897="","",IFERROR(LOOKUP(2^15,SEARCH(Rules!$A$2:$A$200&amp;"",$B897)/(Rules!$A$2:$A$200&lt;&gt;""),Rules!$B$2:$B$200),"Uncategorized"))</f>
        <v/>
      </c>
      <c r="E897" s="3" t="str">
        <f aca="false">IF($B897="","",IF($C897&gt;=0,"Income","Expense"))</f>
        <v/>
      </c>
      <c r="F897" s="3" t="str">
        <f aca="false">IF($B897="","",IFERROR(LOOKUP(2^15,SEARCH(Rules!$A$2:$A$200&amp;"",$B897)/(Rules!$A$2:$A$200&lt;&gt;""),Rules!$A$2:$A$200),""))</f>
        <v/>
      </c>
      <c r="G897" s="3" t="str">
        <f aca="false">IF($B897="","",IF(D897="Uncategorized","⚠ Review",IF(IFERROR(LOOKUP(2^15,SEARCH(Rules!$A$2:$A$200&amp;"",$B897)/(Rules!$A$2:$A$200&lt;&gt;""),Rules!$C$2:$C$200),"")&lt;&gt;E897,"⚠ Check sign","OK")))</f>
        <v/>
      </c>
    </row>
    <row r="898" customFormat="false" ht="15" hidden="false" customHeight="false" outlineLevel="0" collapsed="false">
      <c r="A898" s="3"/>
      <c r="B898" s="3"/>
      <c r="C898" s="3"/>
      <c r="D898" s="3" t="str">
        <f aca="false">IF($B898="","",IFERROR(LOOKUP(2^15,SEARCH(Rules!$A$2:$A$200&amp;"",$B898)/(Rules!$A$2:$A$200&lt;&gt;""),Rules!$B$2:$B$200),"Uncategorized"))</f>
        <v/>
      </c>
      <c r="E898" s="3" t="str">
        <f aca="false">IF($B898="","",IF($C898&gt;=0,"Income","Expense"))</f>
        <v/>
      </c>
      <c r="F898" s="3" t="str">
        <f aca="false">IF($B898="","",IFERROR(LOOKUP(2^15,SEARCH(Rules!$A$2:$A$200&amp;"",$B898)/(Rules!$A$2:$A$200&lt;&gt;""),Rules!$A$2:$A$200),""))</f>
        <v/>
      </c>
      <c r="G898" s="3" t="str">
        <f aca="false">IF($B898="","",IF(D898="Uncategorized","⚠ Review",IF(IFERROR(LOOKUP(2^15,SEARCH(Rules!$A$2:$A$200&amp;"",$B898)/(Rules!$A$2:$A$200&lt;&gt;""),Rules!$C$2:$C$200),"")&lt;&gt;E898,"⚠ Check sign","OK")))</f>
        <v/>
      </c>
    </row>
    <row r="899" customFormat="false" ht="15" hidden="false" customHeight="false" outlineLevel="0" collapsed="false">
      <c r="A899" s="3"/>
      <c r="B899" s="3"/>
      <c r="C899" s="3"/>
      <c r="D899" s="3" t="str">
        <f aca="false">IF($B899="","",IFERROR(LOOKUP(2^15,SEARCH(Rules!$A$2:$A$200&amp;"",$B899)/(Rules!$A$2:$A$200&lt;&gt;""),Rules!$B$2:$B$200),"Uncategorized"))</f>
        <v/>
      </c>
      <c r="E899" s="3" t="str">
        <f aca="false">IF($B899="","",IF($C899&gt;=0,"Income","Expense"))</f>
        <v/>
      </c>
      <c r="F899" s="3" t="str">
        <f aca="false">IF($B899="","",IFERROR(LOOKUP(2^15,SEARCH(Rules!$A$2:$A$200&amp;"",$B899)/(Rules!$A$2:$A$200&lt;&gt;""),Rules!$A$2:$A$200),""))</f>
        <v/>
      </c>
      <c r="G899" s="3" t="str">
        <f aca="false">IF($B899="","",IF(D899="Uncategorized","⚠ Review",IF(IFERROR(LOOKUP(2^15,SEARCH(Rules!$A$2:$A$200&amp;"",$B899)/(Rules!$A$2:$A$200&lt;&gt;""),Rules!$C$2:$C$200),"")&lt;&gt;E899,"⚠ Check sign","OK")))</f>
        <v/>
      </c>
    </row>
    <row r="900" customFormat="false" ht="15" hidden="false" customHeight="false" outlineLevel="0" collapsed="false">
      <c r="A900" s="3"/>
      <c r="B900" s="3"/>
      <c r="C900" s="3"/>
      <c r="D900" s="3" t="str">
        <f aca="false">IF($B900="","",IFERROR(LOOKUP(2^15,SEARCH(Rules!$A$2:$A$200&amp;"",$B900)/(Rules!$A$2:$A$200&lt;&gt;""),Rules!$B$2:$B$200),"Uncategorized"))</f>
        <v/>
      </c>
      <c r="E900" s="3" t="str">
        <f aca="false">IF($B900="","",IF($C900&gt;=0,"Income","Expense"))</f>
        <v/>
      </c>
      <c r="F900" s="3" t="str">
        <f aca="false">IF($B900="","",IFERROR(LOOKUP(2^15,SEARCH(Rules!$A$2:$A$200&amp;"",$B900)/(Rules!$A$2:$A$200&lt;&gt;""),Rules!$A$2:$A$200),""))</f>
        <v/>
      </c>
      <c r="G900" s="3" t="str">
        <f aca="false">IF($B900="","",IF(D900="Uncategorized","⚠ Review",IF(IFERROR(LOOKUP(2^15,SEARCH(Rules!$A$2:$A$200&amp;"",$B900)/(Rules!$A$2:$A$200&lt;&gt;""),Rules!$C$2:$C$200),"")&lt;&gt;E900,"⚠ Check sign","OK")))</f>
        <v/>
      </c>
    </row>
    <row r="901" customFormat="false" ht="15" hidden="false" customHeight="false" outlineLevel="0" collapsed="false">
      <c r="A901" s="3"/>
      <c r="B901" s="3"/>
      <c r="C901" s="3"/>
      <c r="D901" s="3" t="str">
        <f aca="false">IF($B901="","",IFERROR(LOOKUP(2^15,SEARCH(Rules!$A$2:$A$200&amp;"",$B901)/(Rules!$A$2:$A$200&lt;&gt;""),Rules!$B$2:$B$200),"Uncategorized"))</f>
        <v/>
      </c>
      <c r="E901" s="3" t="str">
        <f aca="false">IF($B901="","",IF($C901&gt;=0,"Income","Expense"))</f>
        <v/>
      </c>
      <c r="F901" s="3" t="str">
        <f aca="false">IF($B901="","",IFERROR(LOOKUP(2^15,SEARCH(Rules!$A$2:$A$200&amp;"",$B901)/(Rules!$A$2:$A$200&lt;&gt;""),Rules!$A$2:$A$200),""))</f>
        <v/>
      </c>
      <c r="G901" s="3" t="str">
        <f aca="false">IF($B901="","",IF(D901="Uncategorized","⚠ Review",IF(IFERROR(LOOKUP(2^15,SEARCH(Rules!$A$2:$A$200&amp;"",$B901)/(Rules!$A$2:$A$200&lt;&gt;""),Rules!$C$2:$C$200),"")&lt;&gt;E901,"⚠ Check sign","OK")))</f>
        <v/>
      </c>
    </row>
    <row r="902" customFormat="false" ht="15" hidden="false" customHeight="false" outlineLevel="0" collapsed="false">
      <c r="A902" s="3"/>
      <c r="B902" s="3"/>
      <c r="C902" s="3"/>
      <c r="D902" s="3" t="str">
        <f aca="false">IF($B902="","",IFERROR(LOOKUP(2^15,SEARCH(Rules!$A$2:$A$200&amp;"",$B902)/(Rules!$A$2:$A$200&lt;&gt;""),Rules!$B$2:$B$200),"Uncategorized"))</f>
        <v/>
      </c>
      <c r="E902" s="3" t="str">
        <f aca="false">IF($B902="","",IF($C902&gt;=0,"Income","Expense"))</f>
        <v/>
      </c>
      <c r="F902" s="3" t="str">
        <f aca="false">IF($B902="","",IFERROR(LOOKUP(2^15,SEARCH(Rules!$A$2:$A$200&amp;"",$B902)/(Rules!$A$2:$A$200&lt;&gt;""),Rules!$A$2:$A$200),""))</f>
        <v/>
      </c>
      <c r="G902" s="3" t="str">
        <f aca="false">IF($B902="","",IF(D902="Uncategorized","⚠ Review",IF(IFERROR(LOOKUP(2^15,SEARCH(Rules!$A$2:$A$200&amp;"",$B902)/(Rules!$A$2:$A$200&lt;&gt;""),Rules!$C$2:$C$200),"")&lt;&gt;E902,"⚠ Check sign","OK")))</f>
        <v/>
      </c>
    </row>
    <row r="903" customFormat="false" ht="15" hidden="false" customHeight="false" outlineLevel="0" collapsed="false">
      <c r="A903" s="3"/>
      <c r="B903" s="3"/>
      <c r="C903" s="3"/>
      <c r="D903" s="3" t="str">
        <f aca="false">IF($B903="","",IFERROR(LOOKUP(2^15,SEARCH(Rules!$A$2:$A$200&amp;"",$B903)/(Rules!$A$2:$A$200&lt;&gt;""),Rules!$B$2:$B$200),"Uncategorized"))</f>
        <v/>
      </c>
      <c r="E903" s="3" t="str">
        <f aca="false">IF($B903="","",IF($C903&gt;=0,"Income","Expense"))</f>
        <v/>
      </c>
      <c r="F903" s="3" t="str">
        <f aca="false">IF($B903="","",IFERROR(LOOKUP(2^15,SEARCH(Rules!$A$2:$A$200&amp;"",$B903)/(Rules!$A$2:$A$200&lt;&gt;""),Rules!$A$2:$A$200),""))</f>
        <v/>
      </c>
      <c r="G903" s="3" t="str">
        <f aca="false">IF($B903="","",IF(D903="Uncategorized","⚠ Review",IF(IFERROR(LOOKUP(2^15,SEARCH(Rules!$A$2:$A$200&amp;"",$B903)/(Rules!$A$2:$A$200&lt;&gt;""),Rules!$C$2:$C$200),"")&lt;&gt;E903,"⚠ Check sign","OK")))</f>
        <v/>
      </c>
    </row>
    <row r="904" customFormat="false" ht="15" hidden="false" customHeight="false" outlineLevel="0" collapsed="false">
      <c r="A904" s="3"/>
      <c r="B904" s="3"/>
      <c r="C904" s="3"/>
      <c r="D904" s="3" t="str">
        <f aca="false">IF($B904="","",IFERROR(LOOKUP(2^15,SEARCH(Rules!$A$2:$A$200&amp;"",$B904)/(Rules!$A$2:$A$200&lt;&gt;""),Rules!$B$2:$B$200),"Uncategorized"))</f>
        <v/>
      </c>
      <c r="E904" s="3" t="str">
        <f aca="false">IF($B904="","",IF($C904&gt;=0,"Income","Expense"))</f>
        <v/>
      </c>
      <c r="F904" s="3" t="str">
        <f aca="false">IF($B904="","",IFERROR(LOOKUP(2^15,SEARCH(Rules!$A$2:$A$200&amp;"",$B904)/(Rules!$A$2:$A$200&lt;&gt;""),Rules!$A$2:$A$200),""))</f>
        <v/>
      </c>
      <c r="G904" s="3" t="str">
        <f aca="false">IF($B904="","",IF(D904="Uncategorized","⚠ Review",IF(IFERROR(LOOKUP(2^15,SEARCH(Rules!$A$2:$A$200&amp;"",$B904)/(Rules!$A$2:$A$200&lt;&gt;""),Rules!$C$2:$C$200),"")&lt;&gt;E904,"⚠ Check sign","OK")))</f>
        <v/>
      </c>
    </row>
    <row r="905" customFormat="false" ht="15" hidden="false" customHeight="false" outlineLevel="0" collapsed="false">
      <c r="A905" s="3"/>
      <c r="B905" s="3"/>
      <c r="C905" s="3"/>
      <c r="D905" s="3" t="str">
        <f aca="false">IF($B905="","",IFERROR(LOOKUP(2^15,SEARCH(Rules!$A$2:$A$200&amp;"",$B905)/(Rules!$A$2:$A$200&lt;&gt;""),Rules!$B$2:$B$200),"Uncategorized"))</f>
        <v/>
      </c>
      <c r="E905" s="3" t="str">
        <f aca="false">IF($B905="","",IF($C905&gt;=0,"Income","Expense"))</f>
        <v/>
      </c>
      <c r="F905" s="3" t="str">
        <f aca="false">IF($B905="","",IFERROR(LOOKUP(2^15,SEARCH(Rules!$A$2:$A$200&amp;"",$B905)/(Rules!$A$2:$A$200&lt;&gt;""),Rules!$A$2:$A$200),""))</f>
        <v/>
      </c>
      <c r="G905" s="3" t="str">
        <f aca="false">IF($B905="","",IF(D905="Uncategorized","⚠ Review",IF(IFERROR(LOOKUP(2^15,SEARCH(Rules!$A$2:$A$200&amp;"",$B905)/(Rules!$A$2:$A$200&lt;&gt;""),Rules!$C$2:$C$200),"")&lt;&gt;E905,"⚠ Check sign","OK")))</f>
        <v/>
      </c>
    </row>
    <row r="906" customFormat="false" ht="15" hidden="false" customHeight="false" outlineLevel="0" collapsed="false">
      <c r="A906" s="3"/>
      <c r="B906" s="3"/>
      <c r="C906" s="3"/>
      <c r="D906" s="3" t="str">
        <f aca="false">IF($B906="","",IFERROR(LOOKUP(2^15,SEARCH(Rules!$A$2:$A$200&amp;"",$B906)/(Rules!$A$2:$A$200&lt;&gt;""),Rules!$B$2:$B$200),"Uncategorized"))</f>
        <v/>
      </c>
      <c r="E906" s="3" t="str">
        <f aca="false">IF($B906="","",IF($C906&gt;=0,"Income","Expense"))</f>
        <v/>
      </c>
      <c r="F906" s="3" t="str">
        <f aca="false">IF($B906="","",IFERROR(LOOKUP(2^15,SEARCH(Rules!$A$2:$A$200&amp;"",$B906)/(Rules!$A$2:$A$200&lt;&gt;""),Rules!$A$2:$A$200),""))</f>
        <v/>
      </c>
      <c r="G906" s="3" t="str">
        <f aca="false">IF($B906="","",IF(D906="Uncategorized","⚠ Review",IF(IFERROR(LOOKUP(2^15,SEARCH(Rules!$A$2:$A$200&amp;"",$B906)/(Rules!$A$2:$A$200&lt;&gt;""),Rules!$C$2:$C$200),"")&lt;&gt;E906,"⚠ Check sign","OK")))</f>
        <v/>
      </c>
    </row>
    <row r="907" customFormat="false" ht="15" hidden="false" customHeight="false" outlineLevel="0" collapsed="false">
      <c r="A907" s="3"/>
      <c r="B907" s="3"/>
      <c r="C907" s="3"/>
      <c r="D907" s="3" t="str">
        <f aca="false">IF($B907="","",IFERROR(LOOKUP(2^15,SEARCH(Rules!$A$2:$A$200&amp;"",$B907)/(Rules!$A$2:$A$200&lt;&gt;""),Rules!$B$2:$B$200),"Uncategorized"))</f>
        <v/>
      </c>
      <c r="E907" s="3" t="str">
        <f aca="false">IF($B907="","",IF($C907&gt;=0,"Income","Expense"))</f>
        <v/>
      </c>
      <c r="F907" s="3" t="str">
        <f aca="false">IF($B907="","",IFERROR(LOOKUP(2^15,SEARCH(Rules!$A$2:$A$200&amp;"",$B907)/(Rules!$A$2:$A$200&lt;&gt;""),Rules!$A$2:$A$200),""))</f>
        <v/>
      </c>
      <c r="G907" s="3" t="str">
        <f aca="false">IF($B907="","",IF(D907="Uncategorized","⚠ Review",IF(IFERROR(LOOKUP(2^15,SEARCH(Rules!$A$2:$A$200&amp;"",$B907)/(Rules!$A$2:$A$200&lt;&gt;""),Rules!$C$2:$C$200),"")&lt;&gt;E907,"⚠ Check sign","OK")))</f>
        <v/>
      </c>
    </row>
    <row r="908" customFormat="false" ht="15" hidden="false" customHeight="false" outlineLevel="0" collapsed="false">
      <c r="A908" s="3"/>
      <c r="B908" s="3"/>
      <c r="C908" s="3"/>
      <c r="D908" s="3" t="str">
        <f aca="false">IF($B908="","",IFERROR(LOOKUP(2^15,SEARCH(Rules!$A$2:$A$200&amp;"",$B908)/(Rules!$A$2:$A$200&lt;&gt;""),Rules!$B$2:$B$200),"Uncategorized"))</f>
        <v/>
      </c>
      <c r="E908" s="3" t="str">
        <f aca="false">IF($B908="","",IF($C908&gt;=0,"Income","Expense"))</f>
        <v/>
      </c>
      <c r="F908" s="3" t="str">
        <f aca="false">IF($B908="","",IFERROR(LOOKUP(2^15,SEARCH(Rules!$A$2:$A$200&amp;"",$B908)/(Rules!$A$2:$A$200&lt;&gt;""),Rules!$A$2:$A$200),""))</f>
        <v/>
      </c>
      <c r="G908" s="3" t="str">
        <f aca="false">IF($B908="","",IF(D908="Uncategorized","⚠ Review",IF(IFERROR(LOOKUP(2^15,SEARCH(Rules!$A$2:$A$200&amp;"",$B908)/(Rules!$A$2:$A$200&lt;&gt;""),Rules!$C$2:$C$200),"")&lt;&gt;E908,"⚠ Check sign","OK")))</f>
        <v/>
      </c>
    </row>
    <row r="909" customFormat="false" ht="15" hidden="false" customHeight="false" outlineLevel="0" collapsed="false">
      <c r="A909" s="3"/>
      <c r="B909" s="3"/>
      <c r="C909" s="3"/>
      <c r="D909" s="3" t="str">
        <f aca="false">IF($B909="","",IFERROR(LOOKUP(2^15,SEARCH(Rules!$A$2:$A$200&amp;"",$B909)/(Rules!$A$2:$A$200&lt;&gt;""),Rules!$B$2:$B$200),"Uncategorized"))</f>
        <v/>
      </c>
      <c r="E909" s="3" t="str">
        <f aca="false">IF($B909="","",IF($C909&gt;=0,"Income","Expense"))</f>
        <v/>
      </c>
      <c r="F909" s="3" t="str">
        <f aca="false">IF($B909="","",IFERROR(LOOKUP(2^15,SEARCH(Rules!$A$2:$A$200&amp;"",$B909)/(Rules!$A$2:$A$200&lt;&gt;""),Rules!$A$2:$A$200),""))</f>
        <v/>
      </c>
      <c r="G909" s="3" t="str">
        <f aca="false">IF($B909="","",IF(D909="Uncategorized","⚠ Review",IF(IFERROR(LOOKUP(2^15,SEARCH(Rules!$A$2:$A$200&amp;"",$B909)/(Rules!$A$2:$A$200&lt;&gt;""),Rules!$C$2:$C$200),"")&lt;&gt;E909,"⚠ Check sign","OK")))</f>
        <v/>
      </c>
    </row>
    <row r="910" customFormat="false" ht="15" hidden="false" customHeight="false" outlineLevel="0" collapsed="false">
      <c r="A910" s="3"/>
      <c r="B910" s="3"/>
      <c r="C910" s="3"/>
      <c r="D910" s="3" t="str">
        <f aca="false">IF($B910="","",IFERROR(LOOKUP(2^15,SEARCH(Rules!$A$2:$A$200&amp;"",$B910)/(Rules!$A$2:$A$200&lt;&gt;""),Rules!$B$2:$B$200),"Uncategorized"))</f>
        <v/>
      </c>
      <c r="E910" s="3" t="str">
        <f aca="false">IF($B910="","",IF($C910&gt;=0,"Income","Expense"))</f>
        <v/>
      </c>
      <c r="F910" s="3" t="str">
        <f aca="false">IF($B910="","",IFERROR(LOOKUP(2^15,SEARCH(Rules!$A$2:$A$200&amp;"",$B910)/(Rules!$A$2:$A$200&lt;&gt;""),Rules!$A$2:$A$200),""))</f>
        <v/>
      </c>
      <c r="G910" s="3" t="str">
        <f aca="false">IF($B910="","",IF(D910="Uncategorized","⚠ Review",IF(IFERROR(LOOKUP(2^15,SEARCH(Rules!$A$2:$A$200&amp;"",$B910)/(Rules!$A$2:$A$200&lt;&gt;""),Rules!$C$2:$C$200),"")&lt;&gt;E910,"⚠ Check sign","OK")))</f>
        <v/>
      </c>
    </row>
    <row r="911" customFormat="false" ht="15" hidden="false" customHeight="false" outlineLevel="0" collapsed="false">
      <c r="A911" s="3"/>
      <c r="B911" s="3"/>
      <c r="C911" s="3"/>
      <c r="D911" s="3" t="str">
        <f aca="false">IF($B911="","",IFERROR(LOOKUP(2^15,SEARCH(Rules!$A$2:$A$200&amp;"",$B911)/(Rules!$A$2:$A$200&lt;&gt;""),Rules!$B$2:$B$200),"Uncategorized"))</f>
        <v/>
      </c>
      <c r="E911" s="3" t="str">
        <f aca="false">IF($B911="","",IF($C911&gt;=0,"Income","Expense"))</f>
        <v/>
      </c>
      <c r="F911" s="3" t="str">
        <f aca="false">IF($B911="","",IFERROR(LOOKUP(2^15,SEARCH(Rules!$A$2:$A$200&amp;"",$B911)/(Rules!$A$2:$A$200&lt;&gt;""),Rules!$A$2:$A$200),""))</f>
        <v/>
      </c>
      <c r="G911" s="3" t="str">
        <f aca="false">IF($B911="","",IF(D911="Uncategorized","⚠ Review",IF(IFERROR(LOOKUP(2^15,SEARCH(Rules!$A$2:$A$200&amp;"",$B911)/(Rules!$A$2:$A$200&lt;&gt;""),Rules!$C$2:$C$200),"")&lt;&gt;E911,"⚠ Check sign","OK")))</f>
        <v/>
      </c>
    </row>
    <row r="912" customFormat="false" ht="15" hidden="false" customHeight="false" outlineLevel="0" collapsed="false">
      <c r="A912" s="3"/>
      <c r="B912" s="3"/>
      <c r="C912" s="3"/>
      <c r="D912" s="3" t="str">
        <f aca="false">IF($B912="","",IFERROR(LOOKUP(2^15,SEARCH(Rules!$A$2:$A$200&amp;"",$B912)/(Rules!$A$2:$A$200&lt;&gt;""),Rules!$B$2:$B$200),"Uncategorized"))</f>
        <v/>
      </c>
      <c r="E912" s="3" t="str">
        <f aca="false">IF($B912="","",IF($C912&gt;=0,"Income","Expense"))</f>
        <v/>
      </c>
      <c r="F912" s="3" t="str">
        <f aca="false">IF($B912="","",IFERROR(LOOKUP(2^15,SEARCH(Rules!$A$2:$A$200&amp;"",$B912)/(Rules!$A$2:$A$200&lt;&gt;""),Rules!$A$2:$A$200),""))</f>
        <v/>
      </c>
      <c r="G912" s="3" t="str">
        <f aca="false">IF($B912="","",IF(D912="Uncategorized","⚠ Review",IF(IFERROR(LOOKUP(2^15,SEARCH(Rules!$A$2:$A$200&amp;"",$B912)/(Rules!$A$2:$A$200&lt;&gt;""),Rules!$C$2:$C$200),"")&lt;&gt;E912,"⚠ Check sign","OK")))</f>
        <v/>
      </c>
    </row>
    <row r="913" customFormat="false" ht="15" hidden="false" customHeight="false" outlineLevel="0" collapsed="false">
      <c r="A913" s="3"/>
      <c r="B913" s="3"/>
      <c r="C913" s="3"/>
      <c r="D913" s="3" t="str">
        <f aca="false">IF($B913="","",IFERROR(LOOKUP(2^15,SEARCH(Rules!$A$2:$A$200&amp;"",$B913)/(Rules!$A$2:$A$200&lt;&gt;""),Rules!$B$2:$B$200),"Uncategorized"))</f>
        <v/>
      </c>
      <c r="E913" s="3" t="str">
        <f aca="false">IF($B913="","",IF($C913&gt;=0,"Income","Expense"))</f>
        <v/>
      </c>
      <c r="F913" s="3" t="str">
        <f aca="false">IF($B913="","",IFERROR(LOOKUP(2^15,SEARCH(Rules!$A$2:$A$200&amp;"",$B913)/(Rules!$A$2:$A$200&lt;&gt;""),Rules!$A$2:$A$200),""))</f>
        <v/>
      </c>
      <c r="G913" s="3" t="str">
        <f aca="false">IF($B913="","",IF(D913="Uncategorized","⚠ Review",IF(IFERROR(LOOKUP(2^15,SEARCH(Rules!$A$2:$A$200&amp;"",$B913)/(Rules!$A$2:$A$200&lt;&gt;""),Rules!$C$2:$C$200),"")&lt;&gt;E913,"⚠ Check sign","OK")))</f>
        <v/>
      </c>
    </row>
    <row r="914" customFormat="false" ht="15" hidden="false" customHeight="false" outlineLevel="0" collapsed="false">
      <c r="A914" s="3"/>
      <c r="B914" s="3"/>
      <c r="C914" s="3"/>
      <c r="D914" s="3" t="str">
        <f aca="false">IF($B914="","",IFERROR(LOOKUP(2^15,SEARCH(Rules!$A$2:$A$200&amp;"",$B914)/(Rules!$A$2:$A$200&lt;&gt;""),Rules!$B$2:$B$200),"Uncategorized"))</f>
        <v/>
      </c>
      <c r="E914" s="3" t="str">
        <f aca="false">IF($B914="","",IF($C914&gt;=0,"Income","Expense"))</f>
        <v/>
      </c>
      <c r="F914" s="3" t="str">
        <f aca="false">IF($B914="","",IFERROR(LOOKUP(2^15,SEARCH(Rules!$A$2:$A$200&amp;"",$B914)/(Rules!$A$2:$A$200&lt;&gt;""),Rules!$A$2:$A$200),""))</f>
        <v/>
      </c>
      <c r="G914" s="3" t="str">
        <f aca="false">IF($B914="","",IF(D914="Uncategorized","⚠ Review",IF(IFERROR(LOOKUP(2^15,SEARCH(Rules!$A$2:$A$200&amp;"",$B914)/(Rules!$A$2:$A$200&lt;&gt;""),Rules!$C$2:$C$200),"")&lt;&gt;E914,"⚠ Check sign","OK")))</f>
        <v/>
      </c>
    </row>
    <row r="915" customFormat="false" ht="15" hidden="false" customHeight="false" outlineLevel="0" collapsed="false">
      <c r="A915" s="3"/>
      <c r="B915" s="3"/>
      <c r="C915" s="3"/>
      <c r="D915" s="3" t="str">
        <f aca="false">IF($B915="","",IFERROR(LOOKUP(2^15,SEARCH(Rules!$A$2:$A$200&amp;"",$B915)/(Rules!$A$2:$A$200&lt;&gt;""),Rules!$B$2:$B$200),"Uncategorized"))</f>
        <v/>
      </c>
      <c r="E915" s="3" t="str">
        <f aca="false">IF($B915="","",IF($C915&gt;=0,"Income","Expense"))</f>
        <v/>
      </c>
      <c r="F915" s="3" t="str">
        <f aca="false">IF($B915="","",IFERROR(LOOKUP(2^15,SEARCH(Rules!$A$2:$A$200&amp;"",$B915)/(Rules!$A$2:$A$200&lt;&gt;""),Rules!$A$2:$A$200),""))</f>
        <v/>
      </c>
      <c r="G915" s="3" t="str">
        <f aca="false">IF($B915="","",IF(D915="Uncategorized","⚠ Review",IF(IFERROR(LOOKUP(2^15,SEARCH(Rules!$A$2:$A$200&amp;"",$B915)/(Rules!$A$2:$A$200&lt;&gt;""),Rules!$C$2:$C$200),"")&lt;&gt;E915,"⚠ Check sign","OK")))</f>
        <v/>
      </c>
    </row>
    <row r="916" customFormat="false" ht="15" hidden="false" customHeight="false" outlineLevel="0" collapsed="false">
      <c r="A916" s="3"/>
      <c r="B916" s="3"/>
      <c r="C916" s="3"/>
      <c r="D916" s="3" t="str">
        <f aca="false">IF($B916="","",IFERROR(LOOKUP(2^15,SEARCH(Rules!$A$2:$A$200&amp;"",$B916)/(Rules!$A$2:$A$200&lt;&gt;""),Rules!$B$2:$B$200),"Uncategorized"))</f>
        <v/>
      </c>
      <c r="E916" s="3" t="str">
        <f aca="false">IF($B916="","",IF($C916&gt;=0,"Income","Expense"))</f>
        <v/>
      </c>
      <c r="F916" s="3" t="str">
        <f aca="false">IF($B916="","",IFERROR(LOOKUP(2^15,SEARCH(Rules!$A$2:$A$200&amp;"",$B916)/(Rules!$A$2:$A$200&lt;&gt;""),Rules!$A$2:$A$200),""))</f>
        <v/>
      </c>
      <c r="G916" s="3" t="str">
        <f aca="false">IF($B916="","",IF(D916="Uncategorized","⚠ Review",IF(IFERROR(LOOKUP(2^15,SEARCH(Rules!$A$2:$A$200&amp;"",$B916)/(Rules!$A$2:$A$200&lt;&gt;""),Rules!$C$2:$C$200),"")&lt;&gt;E916,"⚠ Check sign","OK")))</f>
        <v/>
      </c>
    </row>
    <row r="917" customFormat="false" ht="15" hidden="false" customHeight="false" outlineLevel="0" collapsed="false">
      <c r="A917" s="3"/>
      <c r="B917" s="3"/>
      <c r="C917" s="3"/>
      <c r="D917" s="3" t="str">
        <f aca="false">IF($B917="","",IFERROR(LOOKUP(2^15,SEARCH(Rules!$A$2:$A$200&amp;"",$B917)/(Rules!$A$2:$A$200&lt;&gt;""),Rules!$B$2:$B$200),"Uncategorized"))</f>
        <v/>
      </c>
      <c r="E917" s="3" t="str">
        <f aca="false">IF($B917="","",IF($C917&gt;=0,"Income","Expense"))</f>
        <v/>
      </c>
      <c r="F917" s="3" t="str">
        <f aca="false">IF($B917="","",IFERROR(LOOKUP(2^15,SEARCH(Rules!$A$2:$A$200&amp;"",$B917)/(Rules!$A$2:$A$200&lt;&gt;""),Rules!$A$2:$A$200),""))</f>
        <v/>
      </c>
      <c r="G917" s="3" t="str">
        <f aca="false">IF($B917="","",IF(D917="Uncategorized","⚠ Review",IF(IFERROR(LOOKUP(2^15,SEARCH(Rules!$A$2:$A$200&amp;"",$B917)/(Rules!$A$2:$A$200&lt;&gt;""),Rules!$C$2:$C$200),"")&lt;&gt;E917,"⚠ Check sign","OK")))</f>
        <v/>
      </c>
    </row>
    <row r="918" customFormat="false" ht="15" hidden="false" customHeight="false" outlineLevel="0" collapsed="false">
      <c r="A918" s="3"/>
      <c r="B918" s="3"/>
      <c r="C918" s="3"/>
      <c r="D918" s="3" t="str">
        <f aca="false">IF($B918="","",IFERROR(LOOKUP(2^15,SEARCH(Rules!$A$2:$A$200&amp;"",$B918)/(Rules!$A$2:$A$200&lt;&gt;""),Rules!$B$2:$B$200),"Uncategorized"))</f>
        <v/>
      </c>
      <c r="E918" s="3" t="str">
        <f aca="false">IF($B918="","",IF($C918&gt;=0,"Income","Expense"))</f>
        <v/>
      </c>
      <c r="F918" s="3" t="str">
        <f aca="false">IF($B918="","",IFERROR(LOOKUP(2^15,SEARCH(Rules!$A$2:$A$200&amp;"",$B918)/(Rules!$A$2:$A$200&lt;&gt;""),Rules!$A$2:$A$200),""))</f>
        <v/>
      </c>
      <c r="G918" s="3" t="str">
        <f aca="false">IF($B918="","",IF(D918="Uncategorized","⚠ Review",IF(IFERROR(LOOKUP(2^15,SEARCH(Rules!$A$2:$A$200&amp;"",$B918)/(Rules!$A$2:$A$200&lt;&gt;""),Rules!$C$2:$C$200),"")&lt;&gt;E918,"⚠ Check sign","OK")))</f>
        <v/>
      </c>
    </row>
    <row r="919" customFormat="false" ht="15" hidden="false" customHeight="false" outlineLevel="0" collapsed="false">
      <c r="A919" s="3"/>
      <c r="B919" s="3"/>
      <c r="C919" s="3"/>
      <c r="D919" s="3" t="str">
        <f aca="false">IF($B919="","",IFERROR(LOOKUP(2^15,SEARCH(Rules!$A$2:$A$200&amp;"",$B919)/(Rules!$A$2:$A$200&lt;&gt;""),Rules!$B$2:$B$200),"Uncategorized"))</f>
        <v/>
      </c>
      <c r="E919" s="3" t="str">
        <f aca="false">IF($B919="","",IF($C919&gt;=0,"Income","Expense"))</f>
        <v/>
      </c>
      <c r="F919" s="3" t="str">
        <f aca="false">IF($B919="","",IFERROR(LOOKUP(2^15,SEARCH(Rules!$A$2:$A$200&amp;"",$B919)/(Rules!$A$2:$A$200&lt;&gt;""),Rules!$A$2:$A$200),""))</f>
        <v/>
      </c>
      <c r="G919" s="3" t="str">
        <f aca="false">IF($B919="","",IF(D919="Uncategorized","⚠ Review",IF(IFERROR(LOOKUP(2^15,SEARCH(Rules!$A$2:$A$200&amp;"",$B919)/(Rules!$A$2:$A$200&lt;&gt;""),Rules!$C$2:$C$200),"")&lt;&gt;E919,"⚠ Check sign","OK")))</f>
        <v/>
      </c>
    </row>
    <row r="920" customFormat="false" ht="15" hidden="false" customHeight="false" outlineLevel="0" collapsed="false">
      <c r="A920" s="3"/>
      <c r="B920" s="3"/>
      <c r="C920" s="3"/>
      <c r="D920" s="3" t="str">
        <f aca="false">IF($B920="","",IFERROR(LOOKUP(2^15,SEARCH(Rules!$A$2:$A$200&amp;"",$B920)/(Rules!$A$2:$A$200&lt;&gt;""),Rules!$B$2:$B$200),"Uncategorized"))</f>
        <v/>
      </c>
      <c r="E920" s="3" t="str">
        <f aca="false">IF($B920="","",IF($C920&gt;=0,"Income","Expense"))</f>
        <v/>
      </c>
      <c r="F920" s="3" t="str">
        <f aca="false">IF($B920="","",IFERROR(LOOKUP(2^15,SEARCH(Rules!$A$2:$A$200&amp;"",$B920)/(Rules!$A$2:$A$200&lt;&gt;""),Rules!$A$2:$A$200),""))</f>
        <v/>
      </c>
      <c r="G920" s="3" t="str">
        <f aca="false">IF($B920="","",IF(D920="Uncategorized","⚠ Review",IF(IFERROR(LOOKUP(2^15,SEARCH(Rules!$A$2:$A$200&amp;"",$B920)/(Rules!$A$2:$A$200&lt;&gt;""),Rules!$C$2:$C$200),"")&lt;&gt;E920,"⚠ Check sign","OK")))</f>
        <v/>
      </c>
    </row>
    <row r="921" customFormat="false" ht="15" hidden="false" customHeight="false" outlineLevel="0" collapsed="false">
      <c r="A921" s="3"/>
      <c r="B921" s="3"/>
      <c r="C921" s="3"/>
      <c r="D921" s="3" t="str">
        <f aca="false">IF($B921="","",IFERROR(LOOKUP(2^15,SEARCH(Rules!$A$2:$A$200&amp;"",$B921)/(Rules!$A$2:$A$200&lt;&gt;""),Rules!$B$2:$B$200),"Uncategorized"))</f>
        <v/>
      </c>
      <c r="E921" s="3" t="str">
        <f aca="false">IF($B921="","",IF($C921&gt;=0,"Income","Expense"))</f>
        <v/>
      </c>
      <c r="F921" s="3" t="str">
        <f aca="false">IF($B921="","",IFERROR(LOOKUP(2^15,SEARCH(Rules!$A$2:$A$200&amp;"",$B921)/(Rules!$A$2:$A$200&lt;&gt;""),Rules!$A$2:$A$200),""))</f>
        <v/>
      </c>
      <c r="G921" s="3" t="str">
        <f aca="false">IF($B921="","",IF(D921="Uncategorized","⚠ Review",IF(IFERROR(LOOKUP(2^15,SEARCH(Rules!$A$2:$A$200&amp;"",$B921)/(Rules!$A$2:$A$200&lt;&gt;""),Rules!$C$2:$C$200),"")&lt;&gt;E921,"⚠ Check sign","OK")))</f>
        <v/>
      </c>
    </row>
    <row r="922" customFormat="false" ht="15" hidden="false" customHeight="false" outlineLevel="0" collapsed="false">
      <c r="A922" s="3"/>
      <c r="B922" s="3"/>
      <c r="C922" s="3"/>
      <c r="D922" s="3" t="str">
        <f aca="false">IF($B922="","",IFERROR(LOOKUP(2^15,SEARCH(Rules!$A$2:$A$200&amp;"",$B922)/(Rules!$A$2:$A$200&lt;&gt;""),Rules!$B$2:$B$200),"Uncategorized"))</f>
        <v/>
      </c>
      <c r="E922" s="3" t="str">
        <f aca="false">IF($B922="","",IF($C922&gt;=0,"Income","Expense"))</f>
        <v/>
      </c>
      <c r="F922" s="3" t="str">
        <f aca="false">IF($B922="","",IFERROR(LOOKUP(2^15,SEARCH(Rules!$A$2:$A$200&amp;"",$B922)/(Rules!$A$2:$A$200&lt;&gt;""),Rules!$A$2:$A$200),""))</f>
        <v/>
      </c>
      <c r="G922" s="3" t="str">
        <f aca="false">IF($B922="","",IF(D922="Uncategorized","⚠ Review",IF(IFERROR(LOOKUP(2^15,SEARCH(Rules!$A$2:$A$200&amp;"",$B922)/(Rules!$A$2:$A$200&lt;&gt;""),Rules!$C$2:$C$200),"")&lt;&gt;E922,"⚠ Check sign","OK")))</f>
        <v/>
      </c>
    </row>
    <row r="923" customFormat="false" ht="15" hidden="false" customHeight="false" outlineLevel="0" collapsed="false">
      <c r="A923" s="3"/>
      <c r="B923" s="3"/>
      <c r="C923" s="3"/>
      <c r="D923" s="3" t="str">
        <f aca="false">IF($B923="","",IFERROR(LOOKUP(2^15,SEARCH(Rules!$A$2:$A$200&amp;"",$B923)/(Rules!$A$2:$A$200&lt;&gt;""),Rules!$B$2:$B$200),"Uncategorized"))</f>
        <v/>
      </c>
      <c r="E923" s="3" t="str">
        <f aca="false">IF($B923="","",IF($C923&gt;=0,"Income","Expense"))</f>
        <v/>
      </c>
      <c r="F923" s="3" t="str">
        <f aca="false">IF($B923="","",IFERROR(LOOKUP(2^15,SEARCH(Rules!$A$2:$A$200&amp;"",$B923)/(Rules!$A$2:$A$200&lt;&gt;""),Rules!$A$2:$A$200),""))</f>
        <v/>
      </c>
      <c r="G923" s="3" t="str">
        <f aca="false">IF($B923="","",IF(D923="Uncategorized","⚠ Review",IF(IFERROR(LOOKUP(2^15,SEARCH(Rules!$A$2:$A$200&amp;"",$B923)/(Rules!$A$2:$A$200&lt;&gt;""),Rules!$C$2:$C$200),"")&lt;&gt;E923,"⚠ Check sign","OK")))</f>
        <v/>
      </c>
    </row>
    <row r="924" customFormat="false" ht="15" hidden="false" customHeight="false" outlineLevel="0" collapsed="false">
      <c r="A924" s="3"/>
      <c r="B924" s="3"/>
      <c r="C924" s="3"/>
      <c r="D924" s="3" t="str">
        <f aca="false">IF($B924="","",IFERROR(LOOKUP(2^15,SEARCH(Rules!$A$2:$A$200&amp;"",$B924)/(Rules!$A$2:$A$200&lt;&gt;""),Rules!$B$2:$B$200),"Uncategorized"))</f>
        <v/>
      </c>
      <c r="E924" s="3" t="str">
        <f aca="false">IF($B924="","",IF($C924&gt;=0,"Income","Expense"))</f>
        <v/>
      </c>
      <c r="F924" s="3" t="str">
        <f aca="false">IF($B924="","",IFERROR(LOOKUP(2^15,SEARCH(Rules!$A$2:$A$200&amp;"",$B924)/(Rules!$A$2:$A$200&lt;&gt;""),Rules!$A$2:$A$200),""))</f>
        <v/>
      </c>
      <c r="G924" s="3" t="str">
        <f aca="false">IF($B924="","",IF(D924="Uncategorized","⚠ Review",IF(IFERROR(LOOKUP(2^15,SEARCH(Rules!$A$2:$A$200&amp;"",$B924)/(Rules!$A$2:$A$200&lt;&gt;""),Rules!$C$2:$C$200),"")&lt;&gt;E924,"⚠ Check sign","OK")))</f>
        <v/>
      </c>
    </row>
    <row r="925" customFormat="false" ht="15" hidden="false" customHeight="false" outlineLevel="0" collapsed="false">
      <c r="A925" s="3"/>
      <c r="B925" s="3"/>
      <c r="C925" s="3"/>
      <c r="D925" s="3" t="str">
        <f aca="false">IF($B925="","",IFERROR(LOOKUP(2^15,SEARCH(Rules!$A$2:$A$200&amp;"",$B925)/(Rules!$A$2:$A$200&lt;&gt;""),Rules!$B$2:$B$200),"Uncategorized"))</f>
        <v/>
      </c>
      <c r="E925" s="3" t="str">
        <f aca="false">IF($B925="","",IF($C925&gt;=0,"Income","Expense"))</f>
        <v/>
      </c>
      <c r="F925" s="3" t="str">
        <f aca="false">IF($B925="","",IFERROR(LOOKUP(2^15,SEARCH(Rules!$A$2:$A$200&amp;"",$B925)/(Rules!$A$2:$A$200&lt;&gt;""),Rules!$A$2:$A$200),""))</f>
        <v/>
      </c>
      <c r="G925" s="3" t="str">
        <f aca="false">IF($B925="","",IF(D925="Uncategorized","⚠ Review",IF(IFERROR(LOOKUP(2^15,SEARCH(Rules!$A$2:$A$200&amp;"",$B925)/(Rules!$A$2:$A$200&lt;&gt;""),Rules!$C$2:$C$200),"")&lt;&gt;E925,"⚠ Check sign","OK")))</f>
        <v/>
      </c>
    </row>
    <row r="926" customFormat="false" ht="15" hidden="false" customHeight="false" outlineLevel="0" collapsed="false">
      <c r="A926" s="3"/>
      <c r="B926" s="3"/>
      <c r="C926" s="3"/>
      <c r="D926" s="3" t="str">
        <f aca="false">IF($B926="","",IFERROR(LOOKUP(2^15,SEARCH(Rules!$A$2:$A$200&amp;"",$B926)/(Rules!$A$2:$A$200&lt;&gt;""),Rules!$B$2:$B$200),"Uncategorized"))</f>
        <v/>
      </c>
      <c r="E926" s="3" t="str">
        <f aca="false">IF($B926="","",IF($C926&gt;=0,"Income","Expense"))</f>
        <v/>
      </c>
      <c r="F926" s="3" t="str">
        <f aca="false">IF($B926="","",IFERROR(LOOKUP(2^15,SEARCH(Rules!$A$2:$A$200&amp;"",$B926)/(Rules!$A$2:$A$200&lt;&gt;""),Rules!$A$2:$A$200),""))</f>
        <v/>
      </c>
      <c r="G926" s="3" t="str">
        <f aca="false">IF($B926="","",IF(D926="Uncategorized","⚠ Review",IF(IFERROR(LOOKUP(2^15,SEARCH(Rules!$A$2:$A$200&amp;"",$B926)/(Rules!$A$2:$A$200&lt;&gt;""),Rules!$C$2:$C$200),"")&lt;&gt;E926,"⚠ Check sign","OK")))</f>
        <v/>
      </c>
    </row>
    <row r="927" customFormat="false" ht="15" hidden="false" customHeight="false" outlineLevel="0" collapsed="false">
      <c r="A927" s="3"/>
      <c r="B927" s="3"/>
      <c r="C927" s="3"/>
      <c r="D927" s="3" t="str">
        <f aca="false">IF($B927="","",IFERROR(LOOKUP(2^15,SEARCH(Rules!$A$2:$A$200&amp;"",$B927)/(Rules!$A$2:$A$200&lt;&gt;""),Rules!$B$2:$B$200),"Uncategorized"))</f>
        <v/>
      </c>
      <c r="E927" s="3" t="str">
        <f aca="false">IF($B927="","",IF($C927&gt;=0,"Income","Expense"))</f>
        <v/>
      </c>
      <c r="F927" s="3" t="str">
        <f aca="false">IF($B927="","",IFERROR(LOOKUP(2^15,SEARCH(Rules!$A$2:$A$200&amp;"",$B927)/(Rules!$A$2:$A$200&lt;&gt;""),Rules!$A$2:$A$200),""))</f>
        <v/>
      </c>
      <c r="G927" s="3" t="str">
        <f aca="false">IF($B927="","",IF(D927="Uncategorized","⚠ Review",IF(IFERROR(LOOKUP(2^15,SEARCH(Rules!$A$2:$A$200&amp;"",$B927)/(Rules!$A$2:$A$200&lt;&gt;""),Rules!$C$2:$C$200),"")&lt;&gt;E927,"⚠ Check sign","OK")))</f>
        <v/>
      </c>
    </row>
    <row r="928" customFormat="false" ht="15" hidden="false" customHeight="false" outlineLevel="0" collapsed="false">
      <c r="A928" s="3"/>
      <c r="B928" s="3"/>
      <c r="C928" s="3"/>
      <c r="D928" s="3" t="str">
        <f aca="false">IF($B928="","",IFERROR(LOOKUP(2^15,SEARCH(Rules!$A$2:$A$200&amp;"",$B928)/(Rules!$A$2:$A$200&lt;&gt;""),Rules!$B$2:$B$200),"Uncategorized"))</f>
        <v/>
      </c>
      <c r="E928" s="3" t="str">
        <f aca="false">IF($B928="","",IF($C928&gt;=0,"Income","Expense"))</f>
        <v/>
      </c>
      <c r="F928" s="3" t="str">
        <f aca="false">IF($B928="","",IFERROR(LOOKUP(2^15,SEARCH(Rules!$A$2:$A$200&amp;"",$B928)/(Rules!$A$2:$A$200&lt;&gt;""),Rules!$A$2:$A$200),""))</f>
        <v/>
      </c>
      <c r="G928" s="3" t="str">
        <f aca="false">IF($B928="","",IF(D928="Uncategorized","⚠ Review",IF(IFERROR(LOOKUP(2^15,SEARCH(Rules!$A$2:$A$200&amp;"",$B928)/(Rules!$A$2:$A$200&lt;&gt;""),Rules!$C$2:$C$200),"")&lt;&gt;E928,"⚠ Check sign","OK")))</f>
        <v/>
      </c>
    </row>
    <row r="929" customFormat="false" ht="15" hidden="false" customHeight="false" outlineLevel="0" collapsed="false">
      <c r="A929" s="3"/>
      <c r="B929" s="3"/>
      <c r="C929" s="3"/>
      <c r="D929" s="3" t="str">
        <f aca="false">IF($B929="","",IFERROR(LOOKUP(2^15,SEARCH(Rules!$A$2:$A$200&amp;"",$B929)/(Rules!$A$2:$A$200&lt;&gt;""),Rules!$B$2:$B$200),"Uncategorized"))</f>
        <v/>
      </c>
      <c r="E929" s="3" t="str">
        <f aca="false">IF($B929="","",IF($C929&gt;=0,"Income","Expense"))</f>
        <v/>
      </c>
      <c r="F929" s="3" t="str">
        <f aca="false">IF($B929="","",IFERROR(LOOKUP(2^15,SEARCH(Rules!$A$2:$A$200&amp;"",$B929)/(Rules!$A$2:$A$200&lt;&gt;""),Rules!$A$2:$A$200),""))</f>
        <v/>
      </c>
      <c r="G929" s="3" t="str">
        <f aca="false">IF($B929="","",IF(D929="Uncategorized","⚠ Review",IF(IFERROR(LOOKUP(2^15,SEARCH(Rules!$A$2:$A$200&amp;"",$B929)/(Rules!$A$2:$A$200&lt;&gt;""),Rules!$C$2:$C$200),"")&lt;&gt;E929,"⚠ Check sign","OK")))</f>
        <v/>
      </c>
    </row>
    <row r="930" customFormat="false" ht="15" hidden="false" customHeight="false" outlineLevel="0" collapsed="false">
      <c r="A930" s="3"/>
      <c r="B930" s="3"/>
      <c r="C930" s="3"/>
      <c r="D930" s="3" t="str">
        <f aca="false">IF($B930="","",IFERROR(LOOKUP(2^15,SEARCH(Rules!$A$2:$A$200&amp;"",$B930)/(Rules!$A$2:$A$200&lt;&gt;""),Rules!$B$2:$B$200),"Uncategorized"))</f>
        <v/>
      </c>
      <c r="E930" s="3" t="str">
        <f aca="false">IF($B930="","",IF($C930&gt;=0,"Income","Expense"))</f>
        <v/>
      </c>
      <c r="F930" s="3" t="str">
        <f aca="false">IF($B930="","",IFERROR(LOOKUP(2^15,SEARCH(Rules!$A$2:$A$200&amp;"",$B930)/(Rules!$A$2:$A$200&lt;&gt;""),Rules!$A$2:$A$200),""))</f>
        <v/>
      </c>
      <c r="G930" s="3" t="str">
        <f aca="false">IF($B930="","",IF(D930="Uncategorized","⚠ Review",IF(IFERROR(LOOKUP(2^15,SEARCH(Rules!$A$2:$A$200&amp;"",$B930)/(Rules!$A$2:$A$200&lt;&gt;""),Rules!$C$2:$C$200),"")&lt;&gt;E930,"⚠ Check sign","OK")))</f>
        <v/>
      </c>
    </row>
    <row r="931" customFormat="false" ht="15" hidden="false" customHeight="false" outlineLevel="0" collapsed="false">
      <c r="A931" s="3"/>
      <c r="B931" s="3"/>
      <c r="C931" s="3"/>
      <c r="D931" s="3" t="str">
        <f aca="false">IF($B931="","",IFERROR(LOOKUP(2^15,SEARCH(Rules!$A$2:$A$200&amp;"",$B931)/(Rules!$A$2:$A$200&lt;&gt;""),Rules!$B$2:$B$200),"Uncategorized"))</f>
        <v/>
      </c>
      <c r="E931" s="3" t="str">
        <f aca="false">IF($B931="","",IF($C931&gt;=0,"Income","Expense"))</f>
        <v/>
      </c>
      <c r="F931" s="3" t="str">
        <f aca="false">IF($B931="","",IFERROR(LOOKUP(2^15,SEARCH(Rules!$A$2:$A$200&amp;"",$B931)/(Rules!$A$2:$A$200&lt;&gt;""),Rules!$A$2:$A$200),""))</f>
        <v/>
      </c>
      <c r="G931" s="3" t="str">
        <f aca="false">IF($B931="","",IF(D931="Uncategorized","⚠ Review",IF(IFERROR(LOOKUP(2^15,SEARCH(Rules!$A$2:$A$200&amp;"",$B931)/(Rules!$A$2:$A$200&lt;&gt;""),Rules!$C$2:$C$200),"")&lt;&gt;E931,"⚠ Check sign","OK")))</f>
        <v/>
      </c>
    </row>
    <row r="932" customFormat="false" ht="15" hidden="false" customHeight="false" outlineLevel="0" collapsed="false">
      <c r="A932" s="3"/>
      <c r="B932" s="3"/>
      <c r="C932" s="3"/>
      <c r="D932" s="3" t="str">
        <f aca="false">IF($B932="","",IFERROR(LOOKUP(2^15,SEARCH(Rules!$A$2:$A$200&amp;"",$B932)/(Rules!$A$2:$A$200&lt;&gt;""),Rules!$B$2:$B$200),"Uncategorized"))</f>
        <v/>
      </c>
      <c r="E932" s="3" t="str">
        <f aca="false">IF($B932="","",IF($C932&gt;=0,"Income","Expense"))</f>
        <v/>
      </c>
      <c r="F932" s="3" t="str">
        <f aca="false">IF($B932="","",IFERROR(LOOKUP(2^15,SEARCH(Rules!$A$2:$A$200&amp;"",$B932)/(Rules!$A$2:$A$200&lt;&gt;""),Rules!$A$2:$A$200),""))</f>
        <v/>
      </c>
      <c r="G932" s="3" t="str">
        <f aca="false">IF($B932="","",IF(D932="Uncategorized","⚠ Review",IF(IFERROR(LOOKUP(2^15,SEARCH(Rules!$A$2:$A$200&amp;"",$B932)/(Rules!$A$2:$A$200&lt;&gt;""),Rules!$C$2:$C$200),"")&lt;&gt;E932,"⚠ Check sign","OK")))</f>
        <v/>
      </c>
    </row>
    <row r="933" customFormat="false" ht="15" hidden="false" customHeight="false" outlineLevel="0" collapsed="false">
      <c r="A933" s="3"/>
      <c r="B933" s="3"/>
      <c r="C933" s="3"/>
      <c r="D933" s="3" t="str">
        <f aca="false">IF($B933="","",IFERROR(LOOKUP(2^15,SEARCH(Rules!$A$2:$A$200&amp;"",$B933)/(Rules!$A$2:$A$200&lt;&gt;""),Rules!$B$2:$B$200),"Uncategorized"))</f>
        <v/>
      </c>
      <c r="E933" s="3" t="str">
        <f aca="false">IF($B933="","",IF($C933&gt;=0,"Income","Expense"))</f>
        <v/>
      </c>
      <c r="F933" s="3" t="str">
        <f aca="false">IF($B933="","",IFERROR(LOOKUP(2^15,SEARCH(Rules!$A$2:$A$200&amp;"",$B933)/(Rules!$A$2:$A$200&lt;&gt;""),Rules!$A$2:$A$200),""))</f>
        <v/>
      </c>
      <c r="G933" s="3" t="str">
        <f aca="false">IF($B933="","",IF(D933="Uncategorized","⚠ Review",IF(IFERROR(LOOKUP(2^15,SEARCH(Rules!$A$2:$A$200&amp;"",$B933)/(Rules!$A$2:$A$200&lt;&gt;""),Rules!$C$2:$C$200),"")&lt;&gt;E933,"⚠ Check sign","OK")))</f>
        <v/>
      </c>
    </row>
    <row r="934" customFormat="false" ht="15" hidden="false" customHeight="false" outlineLevel="0" collapsed="false">
      <c r="A934" s="3"/>
      <c r="B934" s="3"/>
      <c r="C934" s="3"/>
      <c r="D934" s="3" t="str">
        <f aca="false">IF($B934="","",IFERROR(LOOKUP(2^15,SEARCH(Rules!$A$2:$A$200&amp;"",$B934)/(Rules!$A$2:$A$200&lt;&gt;""),Rules!$B$2:$B$200),"Uncategorized"))</f>
        <v/>
      </c>
      <c r="E934" s="3" t="str">
        <f aca="false">IF($B934="","",IF($C934&gt;=0,"Income","Expense"))</f>
        <v/>
      </c>
      <c r="F934" s="3" t="str">
        <f aca="false">IF($B934="","",IFERROR(LOOKUP(2^15,SEARCH(Rules!$A$2:$A$200&amp;"",$B934)/(Rules!$A$2:$A$200&lt;&gt;""),Rules!$A$2:$A$200),""))</f>
        <v/>
      </c>
      <c r="G934" s="3" t="str">
        <f aca="false">IF($B934="","",IF(D934="Uncategorized","⚠ Review",IF(IFERROR(LOOKUP(2^15,SEARCH(Rules!$A$2:$A$200&amp;"",$B934)/(Rules!$A$2:$A$200&lt;&gt;""),Rules!$C$2:$C$200),"")&lt;&gt;E934,"⚠ Check sign","OK")))</f>
        <v/>
      </c>
    </row>
    <row r="935" customFormat="false" ht="15" hidden="false" customHeight="false" outlineLevel="0" collapsed="false">
      <c r="A935" s="3"/>
      <c r="B935" s="3"/>
      <c r="C935" s="3"/>
      <c r="D935" s="3" t="str">
        <f aca="false">IF($B935="","",IFERROR(LOOKUP(2^15,SEARCH(Rules!$A$2:$A$200&amp;"",$B935)/(Rules!$A$2:$A$200&lt;&gt;""),Rules!$B$2:$B$200),"Uncategorized"))</f>
        <v/>
      </c>
      <c r="E935" s="3" t="str">
        <f aca="false">IF($B935="","",IF($C935&gt;=0,"Income","Expense"))</f>
        <v/>
      </c>
      <c r="F935" s="3" t="str">
        <f aca="false">IF($B935="","",IFERROR(LOOKUP(2^15,SEARCH(Rules!$A$2:$A$200&amp;"",$B935)/(Rules!$A$2:$A$200&lt;&gt;""),Rules!$A$2:$A$200),""))</f>
        <v/>
      </c>
      <c r="G935" s="3" t="str">
        <f aca="false">IF($B935="","",IF(D935="Uncategorized","⚠ Review",IF(IFERROR(LOOKUP(2^15,SEARCH(Rules!$A$2:$A$200&amp;"",$B935)/(Rules!$A$2:$A$200&lt;&gt;""),Rules!$C$2:$C$200),"")&lt;&gt;E935,"⚠ Check sign","OK")))</f>
        <v/>
      </c>
    </row>
    <row r="936" customFormat="false" ht="15" hidden="false" customHeight="false" outlineLevel="0" collapsed="false">
      <c r="A936" s="3"/>
      <c r="B936" s="3"/>
      <c r="C936" s="3"/>
      <c r="D936" s="3" t="str">
        <f aca="false">IF($B936="","",IFERROR(LOOKUP(2^15,SEARCH(Rules!$A$2:$A$200&amp;"",$B936)/(Rules!$A$2:$A$200&lt;&gt;""),Rules!$B$2:$B$200),"Uncategorized"))</f>
        <v/>
      </c>
      <c r="E936" s="3" t="str">
        <f aca="false">IF($B936="","",IF($C936&gt;=0,"Income","Expense"))</f>
        <v/>
      </c>
      <c r="F936" s="3" t="str">
        <f aca="false">IF($B936="","",IFERROR(LOOKUP(2^15,SEARCH(Rules!$A$2:$A$200&amp;"",$B936)/(Rules!$A$2:$A$200&lt;&gt;""),Rules!$A$2:$A$200),""))</f>
        <v/>
      </c>
      <c r="G936" s="3" t="str">
        <f aca="false">IF($B936="","",IF(D936="Uncategorized","⚠ Review",IF(IFERROR(LOOKUP(2^15,SEARCH(Rules!$A$2:$A$200&amp;"",$B936)/(Rules!$A$2:$A$200&lt;&gt;""),Rules!$C$2:$C$200),"")&lt;&gt;E936,"⚠ Check sign","OK")))</f>
        <v/>
      </c>
    </row>
    <row r="937" customFormat="false" ht="15" hidden="false" customHeight="false" outlineLevel="0" collapsed="false">
      <c r="A937" s="3"/>
      <c r="B937" s="3"/>
      <c r="C937" s="3"/>
      <c r="D937" s="3" t="str">
        <f aca="false">IF($B937="","",IFERROR(LOOKUP(2^15,SEARCH(Rules!$A$2:$A$200&amp;"",$B937)/(Rules!$A$2:$A$200&lt;&gt;""),Rules!$B$2:$B$200),"Uncategorized"))</f>
        <v/>
      </c>
      <c r="E937" s="3" t="str">
        <f aca="false">IF($B937="","",IF($C937&gt;=0,"Income","Expense"))</f>
        <v/>
      </c>
      <c r="F937" s="3" t="str">
        <f aca="false">IF($B937="","",IFERROR(LOOKUP(2^15,SEARCH(Rules!$A$2:$A$200&amp;"",$B937)/(Rules!$A$2:$A$200&lt;&gt;""),Rules!$A$2:$A$200),""))</f>
        <v/>
      </c>
      <c r="G937" s="3" t="str">
        <f aca="false">IF($B937="","",IF(D937="Uncategorized","⚠ Review",IF(IFERROR(LOOKUP(2^15,SEARCH(Rules!$A$2:$A$200&amp;"",$B937)/(Rules!$A$2:$A$200&lt;&gt;""),Rules!$C$2:$C$200),"")&lt;&gt;E937,"⚠ Check sign","OK")))</f>
        <v/>
      </c>
    </row>
    <row r="938" customFormat="false" ht="15" hidden="false" customHeight="false" outlineLevel="0" collapsed="false">
      <c r="A938" s="3"/>
      <c r="B938" s="3"/>
      <c r="C938" s="3"/>
      <c r="D938" s="3" t="str">
        <f aca="false">IF($B938="","",IFERROR(LOOKUP(2^15,SEARCH(Rules!$A$2:$A$200&amp;"",$B938)/(Rules!$A$2:$A$200&lt;&gt;""),Rules!$B$2:$B$200),"Uncategorized"))</f>
        <v/>
      </c>
      <c r="E938" s="3" t="str">
        <f aca="false">IF($B938="","",IF($C938&gt;=0,"Income","Expense"))</f>
        <v/>
      </c>
      <c r="F938" s="3" t="str">
        <f aca="false">IF($B938="","",IFERROR(LOOKUP(2^15,SEARCH(Rules!$A$2:$A$200&amp;"",$B938)/(Rules!$A$2:$A$200&lt;&gt;""),Rules!$A$2:$A$200),""))</f>
        <v/>
      </c>
      <c r="G938" s="3" t="str">
        <f aca="false">IF($B938="","",IF(D938="Uncategorized","⚠ Review",IF(IFERROR(LOOKUP(2^15,SEARCH(Rules!$A$2:$A$200&amp;"",$B938)/(Rules!$A$2:$A$200&lt;&gt;""),Rules!$C$2:$C$200),"")&lt;&gt;E938,"⚠ Check sign","OK")))</f>
        <v/>
      </c>
    </row>
    <row r="939" customFormat="false" ht="15" hidden="false" customHeight="false" outlineLevel="0" collapsed="false">
      <c r="A939" s="3"/>
      <c r="B939" s="3"/>
      <c r="C939" s="3"/>
      <c r="D939" s="3" t="str">
        <f aca="false">IF($B939="","",IFERROR(LOOKUP(2^15,SEARCH(Rules!$A$2:$A$200&amp;"",$B939)/(Rules!$A$2:$A$200&lt;&gt;""),Rules!$B$2:$B$200),"Uncategorized"))</f>
        <v/>
      </c>
      <c r="E939" s="3" t="str">
        <f aca="false">IF($B939="","",IF($C939&gt;=0,"Income","Expense"))</f>
        <v/>
      </c>
      <c r="F939" s="3" t="str">
        <f aca="false">IF($B939="","",IFERROR(LOOKUP(2^15,SEARCH(Rules!$A$2:$A$200&amp;"",$B939)/(Rules!$A$2:$A$200&lt;&gt;""),Rules!$A$2:$A$200),""))</f>
        <v/>
      </c>
      <c r="G939" s="3" t="str">
        <f aca="false">IF($B939="","",IF(D939="Uncategorized","⚠ Review",IF(IFERROR(LOOKUP(2^15,SEARCH(Rules!$A$2:$A$200&amp;"",$B939)/(Rules!$A$2:$A$200&lt;&gt;""),Rules!$C$2:$C$200),"")&lt;&gt;E939,"⚠ Check sign","OK")))</f>
        <v/>
      </c>
    </row>
    <row r="940" customFormat="false" ht="15" hidden="false" customHeight="false" outlineLevel="0" collapsed="false">
      <c r="A940" s="3"/>
      <c r="B940" s="3"/>
      <c r="C940" s="3"/>
      <c r="D940" s="3" t="str">
        <f aca="false">IF($B940="","",IFERROR(LOOKUP(2^15,SEARCH(Rules!$A$2:$A$200&amp;"",$B940)/(Rules!$A$2:$A$200&lt;&gt;""),Rules!$B$2:$B$200),"Uncategorized"))</f>
        <v/>
      </c>
      <c r="E940" s="3" t="str">
        <f aca="false">IF($B940="","",IF($C940&gt;=0,"Income","Expense"))</f>
        <v/>
      </c>
      <c r="F940" s="3" t="str">
        <f aca="false">IF($B940="","",IFERROR(LOOKUP(2^15,SEARCH(Rules!$A$2:$A$200&amp;"",$B940)/(Rules!$A$2:$A$200&lt;&gt;""),Rules!$A$2:$A$200),""))</f>
        <v/>
      </c>
      <c r="G940" s="3" t="str">
        <f aca="false">IF($B940="","",IF(D940="Uncategorized","⚠ Review",IF(IFERROR(LOOKUP(2^15,SEARCH(Rules!$A$2:$A$200&amp;"",$B940)/(Rules!$A$2:$A$200&lt;&gt;""),Rules!$C$2:$C$200),"")&lt;&gt;E940,"⚠ Check sign","OK")))</f>
        <v/>
      </c>
    </row>
    <row r="941" customFormat="false" ht="15" hidden="false" customHeight="false" outlineLevel="0" collapsed="false">
      <c r="A941" s="3"/>
      <c r="B941" s="3"/>
      <c r="C941" s="3"/>
      <c r="D941" s="3" t="str">
        <f aca="false">IF($B941="","",IFERROR(LOOKUP(2^15,SEARCH(Rules!$A$2:$A$200&amp;"",$B941)/(Rules!$A$2:$A$200&lt;&gt;""),Rules!$B$2:$B$200),"Uncategorized"))</f>
        <v/>
      </c>
      <c r="E941" s="3" t="str">
        <f aca="false">IF($B941="","",IF($C941&gt;=0,"Income","Expense"))</f>
        <v/>
      </c>
      <c r="F941" s="3" t="str">
        <f aca="false">IF($B941="","",IFERROR(LOOKUP(2^15,SEARCH(Rules!$A$2:$A$200&amp;"",$B941)/(Rules!$A$2:$A$200&lt;&gt;""),Rules!$A$2:$A$200),""))</f>
        <v/>
      </c>
      <c r="G941" s="3" t="str">
        <f aca="false">IF($B941="","",IF(D941="Uncategorized","⚠ Review",IF(IFERROR(LOOKUP(2^15,SEARCH(Rules!$A$2:$A$200&amp;"",$B941)/(Rules!$A$2:$A$200&lt;&gt;""),Rules!$C$2:$C$200),"")&lt;&gt;E941,"⚠ Check sign","OK")))</f>
        <v/>
      </c>
    </row>
    <row r="942" customFormat="false" ht="15" hidden="false" customHeight="false" outlineLevel="0" collapsed="false">
      <c r="A942" s="3"/>
      <c r="B942" s="3"/>
      <c r="C942" s="3"/>
      <c r="D942" s="3" t="str">
        <f aca="false">IF($B942="","",IFERROR(LOOKUP(2^15,SEARCH(Rules!$A$2:$A$200&amp;"",$B942)/(Rules!$A$2:$A$200&lt;&gt;""),Rules!$B$2:$B$200),"Uncategorized"))</f>
        <v/>
      </c>
      <c r="E942" s="3" t="str">
        <f aca="false">IF($B942="","",IF($C942&gt;=0,"Income","Expense"))</f>
        <v/>
      </c>
      <c r="F942" s="3" t="str">
        <f aca="false">IF($B942="","",IFERROR(LOOKUP(2^15,SEARCH(Rules!$A$2:$A$200&amp;"",$B942)/(Rules!$A$2:$A$200&lt;&gt;""),Rules!$A$2:$A$200),""))</f>
        <v/>
      </c>
      <c r="G942" s="3" t="str">
        <f aca="false">IF($B942="","",IF(D942="Uncategorized","⚠ Review",IF(IFERROR(LOOKUP(2^15,SEARCH(Rules!$A$2:$A$200&amp;"",$B942)/(Rules!$A$2:$A$200&lt;&gt;""),Rules!$C$2:$C$200),"")&lt;&gt;E942,"⚠ Check sign","OK")))</f>
        <v/>
      </c>
    </row>
    <row r="943" customFormat="false" ht="15" hidden="false" customHeight="false" outlineLevel="0" collapsed="false">
      <c r="A943" s="3"/>
      <c r="B943" s="3"/>
      <c r="C943" s="3"/>
      <c r="D943" s="3" t="str">
        <f aca="false">IF($B943="","",IFERROR(LOOKUP(2^15,SEARCH(Rules!$A$2:$A$200&amp;"",$B943)/(Rules!$A$2:$A$200&lt;&gt;""),Rules!$B$2:$B$200),"Uncategorized"))</f>
        <v/>
      </c>
      <c r="E943" s="3" t="str">
        <f aca="false">IF($B943="","",IF($C943&gt;=0,"Income","Expense"))</f>
        <v/>
      </c>
      <c r="F943" s="3" t="str">
        <f aca="false">IF($B943="","",IFERROR(LOOKUP(2^15,SEARCH(Rules!$A$2:$A$200&amp;"",$B943)/(Rules!$A$2:$A$200&lt;&gt;""),Rules!$A$2:$A$200),""))</f>
        <v/>
      </c>
      <c r="G943" s="3" t="str">
        <f aca="false">IF($B943="","",IF(D943="Uncategorized","⚠ Review",IF(IFERROR(LOOKUP(2^15,SEARCH(Rules!$A$2:$A$200&amp;"",$B943)/(Rules!$A$2:$A$200&lt;&gt;""),Rules!$C$2:$C$200),"")&lt;&gt;E943,"⚠ Check sign","OK")))</f>
        <v/>
      </c>
    </row>
    <row r="944" customFormat="false" ht="15" hidden="false" customHeight="false" outlineLevel="0" collapsed="false">
      <c r="A944" s="3"/>
      <c r="B944" s="3"/>
      <c r="C944" s="3"/>
      <c r="D944" s="3" t="str">
        <f aca="false">IF($B944="","",IFERROR(LOOKUP(2^15,SEARCH(Rules!$A$2:$A$200&amp;"",$B944)/(Rules!$A$2:$A$200&lt;&gt;""),Rules!$B$2:$B$200),"Uncategorized"))</f>
        <v/>
      </c>
      <c r="E944" s="3" t="str">
        <f aca="false">IF($B944="","",IF($C944&gt;=0,"Income","Expense"))</f>
        <v/>
      </c>
      <c r="F944" s="3" t="str">
        <f aca="false">IF($B944="","",IFERROR(LOOKUP(2^15,SEARCH(Rules!$A$2:$A$200&amp;"",$B944)/(Rules!$A$2:$A$200&lt;&gt;""),Rules!$A$2:$A$200),""))</f>
        <v/>
      </c>
      <c r="G944" s="3" t="str">
        <f aca="false">IF($B944="","",IF(D944="Uncategorized","⚠ Review",IF(IFERROR(LOOKUP(2^15,SEARCH(Rules!$A$2:$A$200&amp;"",$B944)/(Rules!$A$2:$A$200&lt;&gt;""),Rules!$C$2:$C$200),"")&lt;&gt;E944,"⚠ Check sign","OK")))</f>
        <v/>
      </c>
    </row>
    <row r="945" customFormat="false" ht="15" hidden="false" customHeight="false" outlineLevel="0" collapsed="false">
      <c r="A945" s="3"/>
      <c r="B945" s="3"/>
      <c r="C945" s="3"/>
      <c r="D945" s="3" t="str">
        <f aca="false">IF($B945="","",IFERROR(LOOKUP(2^15,SEARCH(Rules!$A$2:$A$200&amp;"",$B945)/(Rules!$A$2:$A$200&lt;&gt;""),Rules!$B$2:$B$200),"Uncategorized"))</f>
        <v/>
      </c>
      <c r="E945" s="3" t="str">
        <f aca="false">IF($B945="","",IF($C945&gt;=0,"Income","Expense"))</f>
        <v/>
      </c>
      <c r="F945" s="3" t="str">
        <f aca="false">IF($B945="","",IFERROR(LOOKUP(2^15,SEARCH(Rules!$A$2:$A$200&amp;"",$B945)/(Rules!$A$2:$A$200&lt;&gt;""),Rules!$A$2:$A$200),""))</f>
        <v/>
      </c>
      <c r="G945" s="3" t="str">
        <f aca="false">IF($B945="","",IF(D945="Uncategorized","⚠ Review",IF(IFERROR(LOOKUP(2^15,SEARCH(Rules!$A$2:$A$200&amp;"",$B945)/(Rules!$A$2:$A$200&lt;&gt;""),Rules!$C$2:$C$200),"")&lt;&gt;E945,"⚠ Check sign","OK")))</f>
        <v/>
      </c>
    </row>
    <row r="946" customFormat="false" ht="15" hidden="false" customHeight="false" outlineLevel="0" collapsed="false">
      <c r="A946" s="3"/>
      <c r="B946" s="3"/>
      <c r="C946" s="3"/>
      <c r="D946" s="3" t="str">
        <f aca="false">IF($B946="","",IFERROR(LOOKUP(2^15,SEARCH(Rules!$A$2:$A$200&amp;"",$B946)/(Rules!$A$2:$A$200&lt;&gt;""),Rules!$B$2:$B$200),"Uncategorized"))</f>
        <v/>
      </c>
      <c r="E946" s="3" t="str">
        <f aca="false">IF($B946="","",IF($C946&gt;=0,"Income","Expense"))</f>
        <v/>
      </c>
      <c r="F946" s="3" t="str">
        <f aca="false">IF($B946="","",IFERROR(LOOKUP(2^15,SEARCH(Rules!$A$2:$A$200&amp;"",$B946)/(Rules!$A$2:$A$200&lt;&gt;""),Rules!$A$2:$A$200),""))</f>
        <v/>
      </c>
      <c r="G946" s="3" t="str">
        <f aca="false">IF($B946="","",IF(D946="Uncategorized","⚠ Review",IF(IFERROR(LOOKUP(2^15,SEARCH(Rules!$A$2:$A$200&amp;"",$B946)/(Rules!$A$2:$A$200&lt;&gt;""),Rules!$C$2:$C$200),"")&lt;&gt;E946,"⚠ Check sign","OK")))</f>
        <v/>
      </c>
    </row>
    <row r="947" customFormat="false" ht="15" hidden="false" customHeight="false" outlineLevel="0" collapsed="false">
      <c r="A947" s="3"/>
      <c r="B947" s="3"/>
      <c r="C947" s="3"/>
      <c r="D947" s="3" t="str">
        <f aca="false">IF($B947="","",IFERROR(LOOKUP(2^15,SEARCH(Rules!$A$2:$A$200&amp;"",$B947)/(Rules!$A$2:$A$200&lt;&gt;""),Rules!$B$2:$B$200),"Uncategorized"))</f>
        <v/>
      </c>
      <c r="E947" s="3" t="str">
        <f aca="false">IF($B947="","",IF($C947&gt;=0,"Income","Expense"))</f>
        <v/>
      </c>
      <c r="F947" s="3" t="str">
        <f aca="false">IF($B947="","",IFERROR(LOOKUP(2^15,SEARCH(Rules!$A$2:$A$200&amp;"",$B947)/(Rules!$A$2:$A$200&lt;&gt;""),Rules!$A$2:$A$200),""))</f>
        <v/>
      </c>
      <c r="G947" s="3" t="str">
        <f aca="false">IF($B947="","",IF(D947="Uncategorized","⚠ Review",IF(IFERROR(LOOKUP(2^15,SEARCH(Rules!$A$2:$A$200&amp;"",$B947)/(Rules!$A$2:$A$200&lt;&gt;""),Rules!$C$2:$C$200),"")&lt;&gt;E947,"⚠ Check sign","OK")))</f>
        <v/>
      </c>
    </row>
    <row r="948" customFormat="false" ht="15" hidden="false" customHeight="false" outlineLevel="0" collapsed="false">
      <c r="A948" s="3"/>
      <c r="B948" s="3"/>
      <c r="C948" s="3"/>
      <c r="D948" s="3" t="str">
        <f aca="false">IF($B948="","",IFERROR(LOOKUP(2^15,SEARCH(Rules!$A$2:$A$200&amp;"",$B948)/(Rules!$A$2:$A$200&lt;&gt;""),Rules!$B$2:$B$200),"Uncategorized"))</f>
        <v/>
      </c>
      <c r="E948" s="3" t="str">
        <f aca="false">IF($B948="","",IF($C948&gt;=0,"Income","Expense"))</f>
        <v/>
      </c>
      <c r="F948" s="3" t="str">
        <f aca="false">IF($B948="","",IFERROR(LOOKUP(2^15,SEARCH(Rules!$A$2:$A$200&amp;"",$B948)/(Rules!$A$2:$A$200&lt;&gt;""),Rules!$A$2:$A$200),""))</f>
        <v/>
      </c>
      <c r="G948" s="3" t="str">
        <f aca="false">IF($B948="","",IF(D948="Uncategorized","⚠ Review",IF(IFERROR(LOOKUP(2^15,SEARCH(Rules!$A$2:$A$200&amp;"",$B948)/(Rules!$A$2:$A$200&lt;&gt;""),Rules!$C$2:$C$200),"")&lt;&gt;E948,"⚠ Check sign","OK")))</f>
        <v/>
      </c>
    </row>
    <row r="949" customFormat="false" ht="15" hidden="false" customHeight="false" outlineLevel="0" collapsed="false">
      <c r="A949" s="3"/>
      <c r="B949" s="3"/>
      <c r="C949" s="3"/>
      <c r="D949" s="3" t="str">
        <f aca="false">IF($B949="","",IFERROR(LOOKUP(2^15,SEARCH(Rules!$A$2:$A$200&amp;"",$B949)/(Rules!$A$2:$A$200&lt;&gt;""),Rules!$B$2:$B$200),"Uncategorized"))</f>
        <v/>
      </c>
      <c r="E949" s="3" t="str">
        <f aca="false">IF($B949="","",IF($C949&gt;=0,"Income","Expense"))</f>
        <v/>
      </c>
      <c r="F949" s="3" t="str">
        <f aca="false">IF($B949="","",IFERROR(LOOKUP(2^15,SEARCH(Rules!$A$2:$A$200&amp;"",$B949)/(Rules!$A$2:$A$200&lt;&gt;""),Rules!$A$2:$A$200),""))</f>
        <v/>
      </c>
      <c r="G949" s="3" t="str">
        <f aca="false">IF($B949="","",IF(D949="Uncategorized","⚠ Review",IF(IFERROR(LOOKUP(2^15,SEARCH(Rules!$A$2:$A$200&amp;"",$B949)/(Rules!$A$2:$A$200&lt;&gt;""),Rules!$C$2:$C$200),"")&lt;&gt;E949,"⚠ Check sign","OK")))</f>
        <v/>
      </c>
    </row>
    <row r="950" customFormat="false" ht="15" hidden="false" customHeight="false" outlineLevel="0" collapsed="false">
      <c r="A950" s="3"/>
      <c r="B950" s="3"/>
      <c r="C950" s="3"/>
      <c r="D950" s="3" t="str">
        <f aca="false">IF($B950="","",IFERROR(LOOKUP(2^15,SEARCH(Rules!$A$2:$A$200&amp;"",$B950)/(Rules!$A$2:$A$200&lt;&gt;""),Rules!$B$2:$B$200),"Uncategorized"))</f>
        <v/>
      </c>
      <c r="E950" s="3" t="str">
        <f aca="false">IF($B950="","",IF($C950&gt;=0,"Income","Expense"))</f>
        <v/>
      </c>
      <c r="F950" s="3" t="str">
        <f aca="false">IF($B950="","",IFERROR(LOOKUP(2^15,SEARCH(Rules!$A$2:$A$200&amp;"",$B950)/(Rules!$A$2:$A$200&lt;&gt;""),Rules!$A$2:$A$200),""))</f>
        <v/>
      </c>
      <c r="G950" s="3" t="str">
        <f aca="false">IF($B950="","",IF(D950="Uncategorized","⚠ Review",IF(IFERROR(LOOKUP(2^15,SEARCH(Rules!$A$2:$A$200&amp;"",$B950)/(Rules!$A$2:$A$200&lt;&gt;""),Rules!$C$2:$C$200),"")&lt;&gt;E950,"⚠ Check sign","OK")))</f>
        <v/>
      </c>
    </row>
    <row r="951" customFormat="false" ht="15" hidden="false" customHeight="false" outlineLevel="0" collapsed="false">
      <c r="A951" s="3"/>
      <c r="B951" s="3"/>
      <c r="C951" s="3"/>
      <c r="D951" s="3" t="str">
        <f aca="false">IF($B951="","",IFERROR(LOOKUP(2^15,SEARCH(Rules!$A$2:$A$200&amp;"",$B951)/(Rules!$A$2:$A$200&lt;&gt;""),Rules!$B$2:$B$200),"Uncategorized"))</f>
        <v/>
      </c>
      <c r="E951" s="3" t="str">
        <f aca="false">IF($B951="","",IF($C951&gt;=0,"Income","Expense"))</f>
        <v/>
      </c>
      <c r="F951" s="3" t="str">
        <f aca="false">IF($B951="","",IFERROR(LOOKUP(2^15,SEARCH(Rules!$A$2:$A$200&amp;"",$B951)/(Rules!$A$2:$A$200&lt;&gt;""),Rules!$A$2:$A$200),""))</f>
        <v/>
      </c>
      <c r="G951" s="3" t="str">
        <f aca="false">IF($B951="","",IF(D951="Uncategorized","⚠ Review",IF(IFERROR(LOOKUP(2^15,SEARCH(Rules!$A$2:$A$200&amp;"",$B951)/(Rules!$A$2:$A$200&lt;&gt;""),Rules!$C$2:$C$200),"")&lt;&gt;E951,"⚠ Check sign","OK")))</f>
        <v/>
      </c>
    </row>
    <row r="952" customFormat="false" ht="15" hidden="false" customHeight="false" outlineLevel="0" collapsed="false">
      <c r="A952" s="3"/>
      <c r="B952" s="3"/>
      <c r="C952" s="3"/>
      <c r="D952" s="3" t="str">
        <f aca="false">IF($B952="","",IFERROR(LOOKUP(2^15,SEARCH(Rules!$A$2:$A$200&amp;"",$B952)/(Rules!$A$2:$A$200&lt;&gt;""),Rules!$B$2:$B$200),"Uncategorized"))</f>
        <v/>
      </c>
      <c r="E952" s="3" t="str">
        <f aca="false">IF($B952="","",IF($C952&gt;=0,"Income","Expense"))</f>
        <v/>
      </c>
      <c r="F952" s="3" t="str">
        <f aca="false">IF($B952="","",IFERROR(LOOKUP(2^15,SEARCH(Rules!$A$2:$A$200&amp;"",$B952)/(Rules!$A$2:$A$200&lt;&gt;""),Rules!$A$2:$A$200),""))</f>
        <v/>
      </c>
      <c r="G952" s="3" t="str">
        <f aca="false">IF($B952="","",IF(D952="Uncategorized","⚠ Review",IF(IFERROR(LOOKUP(2^15,SEARCH(Rules!$A$2:$A$200&amp;"",$B952)/(Rules!$A$2:$A$200&lt;&gt;""),Rules!$C$2:$C$200),"")&lt;&gt;E952,"⚠ Check sign","OK")))</f>
        <v/>
      </c>
    </row>
    <row r="953" customFormat="false" ht="15" hidden="false" customHeight="false" outlineLevel="0" collapsed="false">
      <c r="A953" s="3"/>
      <c r="B953" s="3"/>
      <c r="C953" s="3"/>
      <c r="D953" s="3" t="str">
        <f aca="false">IF($B953="","",IFERROR(LOOKUP(2^15,SEARCH(Rules!$A$2:$A$200&amp;"",$B953)/(Rules!$A$2:$A$200&lt;&gt;""),Rules!$B$2:$B$200),"Uncategorized"))</f>
        <v/>
      </c>
      <c r="E953" s="3" t="str">
        <f aca="false">IF($B953="","",IF($C953&gt;=0,"Income","Expense"))</f>
        <v/>
      </c>
      <c r="F953" s="3" t="str">
        <f aca="false">IF($B953="","",IFERROR(LOOKUP(2^15,SEARCH(Rules!$A$2:$A$200&amp;"",$B953)/(Rules!$A$2:$A$200&lt;&gt;""),Rules!$A$2:$A$200),""))</f>
        <v/>
      </c>
      <c r="G953" s="3" t="str">
        <f aca="false">IF($B953="","",IF(D953="Uncategorized","⚠ Review",IF(IFERROR(LOOKUP(2^15,SEARCH(Rules!$A$2:$A$200&amp;"",$B953)/(Rules!$A$2:$A$200&lt;&gt;""),Rules!$C$2:$C$200),"")&lt;&gt;E953,"⚠ Check sign","OK")))</f>
        <v/>
      </c>
    </row>
    <row r="954" customFormat="false" ht="15" hidden="false" customHeight="false" outlineLevel="0" collapsed="false">
      <c r="A954" s="3"/>
      <c r="B954" s="3"/>
      <c r="C954" s="3"/>
      <c r="D954" s="3" t="str">
        <f aca="false">IF($B954="","",IFERROR(LOOKUP(2^15,SEARCH(Rules!$A$2:$A$200&amp;"",$B954)/(Rules!$A$2:$A$200&lt;&gt;""),Rules!$B$2:$B$200),"Uncategorized"))</f>
        <v/>
      </c>
      <c r="E954" s="3" t="str">
        <f aca="false">IF($B954="","",IF($C954&gt;=0,"Income","Expense"))</f>
        <v/>
      </c>
      <c r="F954" s="3" t="str">
        <f aca="false">IF($B954="","",IFERROR(LOOKUP(2^15,SEARCH(Rules!$A$2:$A$200&amp;"",$B954)/(Rules!$A$2:$A$200&lt;&gt;""),Rules!$A$2:$A$200),""))</f>
        <v/>
      </c>
      <c r="G954" s="3" t="str">
        <f aca="false">IF($B954="","",IF(D954="Uncategorized","⚠ Review",IF(IFERROR(LOOKUP(2^15,SEARCH(Rules!$A$2:$A$200&amp;"",$B954)/(Rules!$A$2:$A$200&lt;&gt;""),Rules!$C$2:$C$200),"")&lt;&gt;E954,"⚠ Check sign","OK")))</f>
        <v/>
      </c>
    </row>
    <row r="955" customFormat="false" ht="15" hidden="false" customHeight="false" outlineLevel="0" collapsed="false">
      <c r="A955" s="3"/>
      <c r="B955" s="3"/>
      <c r="C955" s="3"/>
      <c r="D955" s="3" t="str">
        <f aca="false">IF($B955="","",IFERROR(LOOKUP(2^15,SEARCH(Rules!$A$2:$A$200&amp;"",$B955)/(Rules!$A$2:$A$200&lt;&gt;""),Rules!$B$2:$B$200),"Uncategorized"))</f>
        <v/>
      </c>
      <c r="E955" s="3" t="str">
        <f aca="false">IF($B955="","",IF($C955&gt;=0,"Income","Expense"))</f>
        <v/>
      </c>
      <c r="F955" s="3" t="str">
        <f aca="false">IF($B955="","",IFERROR(LOOKUP(2^15,SEARCH(Rules!$A$2:$A$200&amp;"",$B955)/(Rules!$A$2:$A$200&lt;&gt;""),Rules!$A$2:$A$200),""))</f>
        <v/>
      </c>
      <c r="G955" s="3" t="str">
        <f aca="false">IF($B955="","",IF(D955="Uncategorized","⚠ Review",IF(IFERROR(LOOKUP(2^15,SEARCH(Rules!$A$2:$A$200&amp;"",$B955)/(Rules!$A$2:$A$200&lt;&gt;""),Rules!$C$2:$C$200),"")&lt;&gt;E955,"⚠ Check sign","OK")))</f>
        <v/>
      </c>
    </row>
    <row r="956" customFormat="false" ht="15" hidden="false" customHeight="false" outlineLevel="0" collapsed="false">
      <c r="A956" s="3"/>
      <c r="B956" s="3"/>
      <c r="C956" s="3"/>
      <c r="D956" s="3" t="str">
        <f aca="false">IF($B956="","",IFERROR(LOOKUP(2^15,SEARCH(Rules!$A$2:$A$200&amp;"",$B956)/(Rules!$A$2:$A$200&lt;&gt;""),Rules!$B$2:$B$200),"Uncategorized"))</f>
        <v/>
      </c>
      <c r="E956" s="3" t="str">
        <f aca="false">IF($B956="","",IF($C956&gt;=0,"Income","Expense"))</f>
        <v/>
      </c>
      <c r="F956" s="3" t="str">
        <f aca="false">IF($B956="","",IFERROR(LOOKUP(2^15,SEARCH(Rules!$A$2:$A$200&amp;"",$B956)/(Rules!$A$2:$A$200&lt;&gt;""),Rules!$A$2:$A$200),""))</f>
        <v/>
      </c>
      <c r="G956" s="3" t="str">
        <f aca="false">IF($B956="","",IF(D956="Uncategorized","⚠ Review",IF(IFERROR(LOOKUP(2^15,SEARCH(Rules!$A$2:$A$200&amp;"",$B956)/(Rules!$A$2:$A$200&lt;&gt;""),Rules!$C$2:$C$200),"")&lt;&gt;E956,"⚠ Check sign","OK")))</f>
        <v/>
      </c>
    </row>
    <row r="957" customFormat="false" ht="15" hidden="false" customHeight="false" outlineLevel="0" collapsed="false">
      <c r="A957" s="3"/>
      <c r="B957" s="3"/>
      <c r="C957" s="3"/>
      <c r="D957" s="3" t="str">
        <f aca="false">IF($B957="","",IFERROR(LOOKUP(2^15,SEARCH(Rules!$A$2:$A$200&amp;"",$B957)/(Rules!$A$2:$A$200&lt;&gt;""),Rules!$B$2:$B$200),"Uncategorized"))</f>
        <v/>
      </c>
      <c r="E957" s="3" t="str">
        <f aca="false">IF($B957="","",IF($C957&gt;=0,"Income","Expense"))</f>
        <v/>
      </c>
      <c r="F957" s="3" t="str">
        <f aca="false">IF($B957="","",IFERROR(LOOKUP(2^15,SEARCH(Rules!$A$2:$A$200&amp;"",$B957)/(Rules!$A$2:$A$200&lt;&gt;""),Rules!$A$2:$A$200),""))</f>
        <v/>
      </c>
      <c r="G957" s="3" t="str">
        <f aca="false">IF($B957="","",IF(D957="Uncategorized","⚠ Review",IF(IFERROR(LOOKUP(2^15,SEARCH(Rules!$A$2:$A$200&amp;"",$B957)/(Rules!$A$2:$A$200&lt;&gt;""),Rules!$C$2:$C$200),"")&lt;&gt;E957,"⚠ Check sign","OK")))</f>
        <v/>
      </c>
    </row>
    <row r="958" customFormat="false" ht="15" hidden="false" customHeight="false" outlineLevel="0" collapsed="false">
      <c r="A958" s="3"/>
      <c r="B958" s="3"/>
      <c r="C958" s="3"/>
      <c r="D958" s="3" t="str">
        <f aca="false">IF($B958="","",IFERROR(LOOKUP(2^15,SEARCH(Rules!$A$2:$A$200&amp;"",$B958)/(Rules!$A$2:$A$200&lt;&gt;""),Rules!$B$2:$B$200),"Uncategorized"))</f>
        <v/>
      </c>
      <c r="E958" s="3" t="str">
        <f aca="false">IF($B958="","",IF($C958&gt;=0,"Income","Expense"))</f>
        <v/>
      </c>
      <c r="F958" s="3" t="str">
        <f aca="false">IF($B958="","",IFERROR(LOOKUP(2^15,SEARCH(Rules!$A$2:$A$200&amp;"",$B958)/(Rules!$A$2:$A$200&lt;&gt;""),Rules!$A$2:$A$200),""))</f>
        <v/>
      </c>
      <c r="G958" s="3" t="str">
        <f aca="false">IF($B958="","",IF(D958="Uncategorized","⚠ Review",IF(IFERROR(LOOKUP(2^15,SEARCH(Rules!$A$2:$A$200&amp;"",$B958)/(Rules!$A$2:$A$200&lt;&gt;""),Rules!$C$2:$C$200),"")&lt;&gt;E958,"⚠ Check sign","OK")))</f>
        <v/>
      </c>
    </row>
    <row r="959" customFormat="false" ht="15" hidden="false" customHeight="false" outlineLevel="0" collapsed="false">
      <c r="A959" s="3"/>
      <c r="B959" s="3"/>
      <c r="C959" s="3"/>
      <c r="D959" s="3" t="str">
        <f aca="false">IF($B959="","",IFERROR(LOOKUP(2^15,SEARCH(Rules!$A$2:$A$200&amp;"",$B959)/(Rules!$A$2:$A$200&lt;&gt;""),Rules!$B$2:$B$200),"Uncategorized"))</f>
        <v/>
      </c>
      <c r="E959" s="3" t="str">
        <f aca="false">IF($B959="","",IF($C959&gt;=0,"Income","Expense"))</f>
        <v/>
      </c>
      <c r="F959" s="3" t="str">
        <f aca="false">IF($B959="","",IFERROR(LOOKUP(2^15,SEARCH(Rules!$A$2:$A$200&amp;"",$B959)/(Rules!$A$2:$A$200&lt;&gt;""),Rules!$A$2:$A$200),""))</f>
        <v/>
      </c>
      <c r="G959" s="3" t="str">
        <f aca="false">IF($B959="","",IF(D959="Uncategorized","⚠ Review",IF(IFERROR(LOOKUP(2^15,SEARCH(Rules!$A$2:$A$200&amp;"",$B959)/(Rules!$A$2:$A$200&lt;&gt;""),Rules!$C$2:$C$200),"")&lt;&gt;E959,"⚠ Check sign","OK")))</f>
        <v/>
      </c>
    </row>
    <row r="960" customFormat="false" ht="15" hidden="false" customHeight="false" outlineLevel="0" collapsed="false">
      <c r="A960" s="3"/>
      <c r="B960" s="3"/>
      <c r="C960" s="3"/>
      <c r="D960" s="3" t="str">
        <f aca="false">IF($B960="","",IFERROR(LOOKUP(2^15,SEARCH(Rules!$A$2:$A$200&amp;"",$B960)/(Rules!$A$2:$A$200&lt;&gt;""),Rules!$B$2:$B$200),"Uncategorized"))</f>
        <v/>
      </c>
      <c r="E960" s="3" t="str">
        <f aca="false">IF($B960="","",IF($C960&gt;=0,"Income","Expense"))</f>
        <v/>
      </c>
      <c r="F960" s="3" t="str">
        <f aca="false">IF($B960="","",IFERROR(LOOKUP(2^15,SEARCH(Rules!$A$2:$A$200&amp;"",$B960)/(Rules!$A$2:$A$200&lt;&gt;""),Rules!$A$2:$A$200),""))</f>
        <v/>
      </c>
      <c r="G960" s="3" t="str">
        <f aca="false">IF($B960="","",IF(D960="Uncategorized","⚠ Review",IF(IFERROR(LOOKUP(2^15,SEARCH(Rules!$A$2:$A$200&amp;"",$B960)/(Rules!$A$2:$A$200&lt;&gt;""),Rules!$C$2:$C$200),"")&lt;&gt;E960,"⚠ Check sign","OK")))</f>
        <v/>
      </c>
    </row>
    <row r="961" customFormat="false" ht="15" hidden="false" customHeight="false" outlineLevel="0" collapsed="false">
      <c r="A961" s="3"/>
      <c r="B961" s="3"/>
      <c r="C961" s="3"/>
      <c r="D961" s="3" t="str">
        <f aca="false">IF($B961="","",IFERROR(LOOKUP(2^15,SEARCH(Rules!$A$2:$A$200&amp;"",$B961)/(Rules!$A$2:$A$200&lt;&gt;""),Rules!$B$2:$B$200),"Uncategorized"))</f>
        <v/>
      </c>
      <c r="E961" s="3" t="str">
        <f aca="false">IF($B961="","",IF($C961&gt;=0,"Income","Expense"))</f>
        <v/>
      </c>
      <c r="F961" s="3" t="str">
        <f aca="false">IF($B961="","",IFERROR(LOOKUP(2^15,SEARCH(Rules!$A$2:$A$200&amp;"",$B961)/(Rules!$A$2:$A$200&lt;&gt;""),Rules!$A$2:$A$200),""))</f>
        <v/>
      </c>
      <c r="G961" s="3" t="str">
        <f aca="false">IF($B961="","",IF(D961="Uncategorized","⚠ Review",IF(IFERROR(LOOKUP(2^15,SEARCH(Rules!$A$2:$A$200&amp;"",$B961)/(Rules!$A$2:$A$200&lt;&gt;""),Rules!$C$2:$C$200),"")&lt;&gt;E961,"⚠ Check sign","OK")))</f>
        <v/>
      </c>
    </row>
    <row r="962" customFormat="false" ht="15" hidden="false" customHeight="false" outlineLevel="0" collapsed="false">
      <c r="A962" s="3"/>
      <c r="B962" s="3"/>
      <c r="C962" s="3"/>
      <c r="D962" s="3" t="str">
        <f aca="false">IF($B962="","",IFERROR(LOOKUP(2^15,SEARCH(Rules!$A$2:$A$200&amp;"",$B962)/(Rules!$A$2:$A$200&lt;&gt;""),Rules!$B$2:$B$200),"Uncategorized"))</f>
        <v/>
      </c>
      <c r="E962" s="3" t="str">
        <f aca="false">IF($B962="","",IF($C962&gt;=0,"Income","Expense"))</f>
        <v/>
      </c>
      <c r="F962" s="3" t="str">
        <f aca="false">IF($B962="","",IFERROR(LOOKUP(2^15,SEARCH(Rules!$A$2:$A$200&amp;"",$B962)/(Rules!$A$2:$A$200&lt;&gt;""),Rules!$A$2:$A$200),""))</f>
        <v/>
      </c>
      <c r="G962" s="3" t="str">
        <f aca="false">IF($B962="","",IF(D962="Uncategorized","⚠ Review",IF(IFERROR(LOOKUP(2^15,SEARCH(Rules!$A$2:$A$200&amp;"",$B962)/(Rules!$A$2:$A$200&lt;&gt;""),Rules!$C$2:$C$200),"")&lt;&gt;E962,"⚠ Check sign","OK")))</f>
        <v/>
      </c>
    </row>
    <row r="963" customFormat="false" ht="15" hidden="false" customHeight="false" outlineLevel="0" collapsed="false">
      <c r="A963" s="3"/>
      <c r="B963" s="3"/>
      <c r="C963" s="3"/>
      <c r="D963" s="3" t="str">
        <f aca="false">IF($B963="","",IFERROR(LOOKUP(2^15,SEARCH(Rules!$A$2:$A$200&amp;"",$B963)/(Rules!$A$2:$A$200&lt;&gt;""),Rules!$B$2:$B$200),"Uncategorized"))</f>
        <v/>
      </c>
      <c r="E963" s="3" t="str">
        <f aca="false">IF($B963="","",IF($C963&gt;=0,"Income","Expense"))</f>
        <v/>
      </c>
      <c r="F963" s="3" t="str">
        <f aca="false">IF($B963="","",IFERROR(LOOKUP(2^15,SEARCH(Rules!$A$2:$A$200&amp;"",$B963)/(Rules!$A$2:$A$200&lt;&gt;""),Rules!$A$2:$A$200),""))</f>
        <v/>
      </c>
      <c r="G963" s="3" t="str">
        <f aca="false">IF($B963="","",IF(D963="Uncategorized","⚠ Review",IF(IFERROR(LOOKUP(2^15,SEARCH(Rules!$A$2:$A$200&amp;"",$B963)/(Rules!$A$2:$A$200&lt;&gt;""),Rules!$C$2:$C$200),"")&lt;&gt;E963,"⚠ Check sign","OK")))</f>
        <v/>
      </c>
    </row>
    <row r="964" customFormat="false" ht="15" hidden="false" customHeight="false" outlineLevel="0" collapsed="false">
      <c r="A964" s="3"/>
      <c r="B964" s="3"/>
      <c r="C964" s="3"/>
      <c r="D964" s="3" t="str">
        <f aca="false">IF($B964="","",IFERROR(LOOKUP(2^15,SEARCH(Rules!$A$2:$A$200&amp;"",$B964)/(Rules!$A$2:$A$200&lt;&gt;""),Rules!$B$2:$B$200),"Uncategorized"))</f>
        <v/>
      </c>
      <c r="E964" s="3" t="str">
        <f aca="false">IF($B964="","",IF($C964&gt;=0,"Income","Expense"))</f>
        <v/>
      </c>
      <c r="F964" s="3" t="str">
        <f aca="false">IF($B964="","",IFERROR(LOOKUP(2^15,SEARCH(Rules!$A$2:$A$200&amp;"",$B964)/(Rules!$A$2:$A$200&lt;&gt;""),Rules!$A$2:$A$200),""))</f>
        <v/>
      </c>
      <c r="G964" s="3" t="str">
        <f aca="false">IF($B964="","",IF(D964="Uncategorized","⚠ Review",IF(IFERROR(LOOKUP(2^15,SEARCH(Rules!$A$2:$A$200&amp;"",$B964)/(Rules!$A$2:$A$200&lt;&gt;""),Rules!$C$2:$C$200),"")&lt;&gt;E964,"⚠ Check sign","OK")))</f>
        <v/>
      </c>
    </row>
    <row r="965" customFormat="false" ht="15" hidden="false" customHeight="false" outlineLevel="0" collapsed="false">
      <c r="A965" s="3"/>
      <c r="B965" s="3"/>
      <c r="C965" s="3"/>
      <c r="D965" s="3" t="str">
        <f aca="false">IF($B965="","",IFERROR(LOOKUP(2^15,SEARCH(Rules!$A$2:$A$200&amp;"",$B965)/(Rules!$A$2:$A$200&lt;&gt;""),Rules!$B$2:$B$200),"Uncategorized"))</f>
        <v/>
      </c>
      <c r="E965" s="3" t="str">
        <f aca="false">IF($B965="","",IF($C965&gt;=0,"Income","Expense"))</f>
        <v/>
      </c>
      <c r="F965" s="3" t="str">
        <f aca="false">IF($B965="","",IFERROR(LOOKUP(2^15,SEARCH(Rules!$A$2:$A$200&amp;"",$B965)/(Rules!$A$2:$A$200&lt;&gt;""),Rules!$A$2:$A$200),""))</f>
        <v/>
      </c>
      <c r="G965" s="3" t="str">
        <f aca="false">IF($B965="","",IF(D965="Uncategorized","⚠ Review",IF(IFERROR(LOOKUP(2^15,SEARCH(Rules!$A$2:$A$200&amp;"",$B965)/(Rules!$A$2:$A$200&lt;&gt;""),Rules!$C$2:$C$200),"")&lt;&gt;E965,"⚠ Check sign","OK")))</f>
        <v/>
      </c>
    </row>
    <row r="966" customFormat="false" ht="15" hidden="false" customHeight="false" outlineLevel="0" collapsed="false">
      <c r="A966" s="3"/>
      <c r="B966" s="3"/>
      <c r="C966" s="3"/>
      <c r="D966" s="3" t="str">
        <f aca="false">IF($B966="","",IFERROR(LOOKUP(2^15,SEARCH(Rules!$A$2:$A$200&amp;"",$B966)/(Rules!$A$2:$A$200&lt;&gt;""),Rules!$B$2:$B$200),"Uncategorized"))</f>
        <v/>
      </c>
      <c r="E966" s="3" t="str">
        <f aca="false">IF($B966="","",IF($C966&gt;=0,"Income","Expense"))</f>
        <v/>
      </c>
      <c r="F966" s="3" t="str">
        <f aca="false">IF($B966="","",IFERROR(LOOKUP(2^15,SEARCH(Rules!$A$2:$A$200&amp;"",$B966)/(Rules!$A$2:$A$200&lt;&gt;""),Rules!$A$2:$A$200),""))</f>
        <v/>
      </c>
      <c r="G966" s="3" t="str">
        <f aca="false">IF($B966="","",IF(D966="Uncategorized","⚠ Review",IF(IFERROR(LOOKUP(2^15,SEARCH(Rules!$A$2:$A$200&amp;"",$B966)/(Rules!$A$2:$A$200&lt;&gt;""),Rules!$C$2:$C$200),"")&lt;&gt;E966,"⚠ Check sign","OK")))</f>
        <v/>
      </c>
    </row>
    <row r="967" customFormat="false" ht="15" hidden="false" customHeight="false" outlineLevel="0" collapsed="false">
      <c r="A967" s="3"/>
      <c r="B967" s="3"/>
      <c r="C967" s="3"/>
      <c r="D967" s="3" t="str">
        <f aca="false">IF($B967="","",IFERROR(LOOKUP(2^15,SEARCH(Rules!$A$2:$A$200&amp;"",$B967)/(Rules!$A$2:$A$200&lt;&gt;""),Rules!$B$2:$B$200),"Uncategorized"))</f>
        <v/>
      </c>
      <c r="E967" s="3" t="str">
        <f aca="false">IF($B967="","",IF($C967&gt;=0,"Income","Expense"))</f>
        <v/>
      </c>
      <c r="F967" s="3" t="str">
        <f aca="false">IF($B967="","",IFERROR(LOOKUP(2^15,SEARCH(Rules!$A$2:$A$200&amp;"",$B967)/(Rules!$A$2:$A$200&lt;&gt;""),Rules!$A$2:$A$200),""))</f>
        <v/>
      </c>
      <c r="G967" s="3" t="str">
        <f aca="false">IF($B967="","",IF(D967="Uncategorized","⚠ Review",IF(IFERROR(LOOKUP(2^15,SEARCH(Rules!$A$2:$A$200&amp;"",$B967)/(Rules!$A$2:$A$200&lt;&gt;""),Rules!$C$2:$C$200),"")&lt;&gt;E967,"⚠ Check sign","OK")))</f>
        <v/>
      </c>
    </row>
    <row r="968" customFormat="false" ht="15" hidden="false" customHeight="false" outlineLevel="0" collapsed="false">
      <c r="A968" s="3"/>
      <c r="B968" s="3"/>
      <c r="C968" s="3"/>
      <c r="D968" s="3" t="str">
        <f aca="false">IF($B968="","",IFERROR(LOOKUP(2^15,SEARCH(Rules!$A$2:$A$200&amp;"",$B968)/(Rules!$A$2:$A$200&lt;&gt;""),Rules!$B$2:$B$200),"Uncategorized"))</f>
        <v/>
      </c>
      <c r="E968" s="3" t="str">
        <f aca="false">IF($B968="","",IF($C968&gt;=0,"Income","Expense"))</f>
        <v/>
      </c>
      <c r="F968" s="3" t="str">
        <f aca="false">IF($B968="","",IFERROR(LOOKUP(2^15,SEARCH(Rules!$A$2:$A$200&amp;"",$B968)/(Rules!$A$2:$A$200&lt;&gt;""),Rules!$A$2:$A$200),""))</f>
        <v/>
      </c>
      <c r="G968" s="3" t="str">
        <f aca="false">IF($B968="","",IF(D968="Uncategorized","⚠ Review",IF(IFERROR(LOOKUP(2^15,SEARCH(Rules!$A$2:$A$200&amp;"",$B968)/(Rules!$A$2:$A$200&lt;&gt;""),Rules!$C$2:$C$200),"")&lt;&gt;E968,"⚠ Check sign","OK")))</f>
        <v/>
      </c>
    </row>
    <row r="969" customFormat="false" ht="15" hidden="false" customHeight="false" outlineLevel="0" collapsed="false">
      <c r="A969" s="3"/>
      <c r="B969" s="3"/>
      <c r="C969" s="3"/>
      <c r="D969" s="3" t="str">
        <f aca="false">IF($B969="","",IFERROR(LOOKUP(2^15,SEARCH(Rules!$A$2:$A$200&amp;"",$B969)/(Rules!$A$2:$A$200&lt;&gt;""),Rules!$B$2:$B$200),"Uncategorized"))</f>
        <v/>
      </c>
      <c r="E969" s="3" t="str">
        <f aca="false">IF($B969="","",IF($C969&gt;=0,"Income","Expense"))</f>
        <v/>
      </c>
      <c r="F969" s="3" t="str">
        <f aca="false">IF($B969="","",IFERROR(LOOKUP(2^15,SEARCH(Rules!$A$2:$A$200&amp;"",$B969)/(Rules!$A$2:$A$200&lt;&gt;""),Rules!$A$2:$A$200),""))</f>
        <v/>
      </c>
      <c r="G969" s="3" t="str">
        <f aca="false">IF($B969="","",IF(D969="Uncategorized","⚠ Review",IF(IFERROR(LOOKUP(2^15,SEARCH(Rules!$A$2:$A$200&amp;"",$B969)/(Rules!$A$2:$A$200&lt;&gt;""),Rules!$C$2:$C$200),"")&lt;&gt;E969,"⚠ Check sign","OK")))</f>
        <v/>
      </c>
    </row>
    <row r="970" customFormat="false" ht="15" hidden="false" customHeight="false" outlineLevel="0" collapsed="false">
      <c r="A970" s="3"/>
      <c r="B970" s="3"/>
      <c r="C970" s="3"/>
      <c r="D970" s="3" t="str">
        <f aca="false">IF($B970="","",IFERROR(LOOKUP(2^15,SEARCH(Rules!$A$2:$A$200&amp;"",$B970)/(Rules!$A$2:$A$200&lt;&gt;""),Rules!$B$2:$B$200),"Uncategorized"))</f>
        <v/>
      </c>
      <c r="E970" s="3" t="str">
        <f aca="false">IF($B970="","",IF($C970&gt;=0,"Income","Expense"))</f>
        <v/>
      </c>
      <c r="F970" s="3" t="str">
        <f aca="false">IF($B970="","",IFERROR(LOOKUP(2^15,SEARCH(Rules!$A$2:$A$200&amp;"",$B970)/(Rules!$A$2:$A$200&lt;&gt;""),Rules!$A$2:$A$200),""))</f>
        <v/>
      </c>
      <c r="G970" s="3" t="str">
        <f aca="false">IF($B970="","",IF(D970="Uncategorized","⚠ Review",IF(IFERROR(LOOKUP(2^15,SEARCH(Rules!$A$2:$A$200&amp;"",$B970)/(Rules!$A$2:$A$200&lt;&gt;""),Rules!$C$2:$C$200),"")&lt;&gt;E970,"⚠ Check sign","OK")))</f>
        <v/>
      </c>
    </row>
    <row r="971" customFormat="false" ht="15" hidden="false" customHeight="false" outlineLevel="0" collapsed="false">
      <c r="A971" s="3"/>
      <c r="B971" s="3"/>
      <c r="C971" s="3"/>
      <c r="D971" s="3" t="str">
        <f aca="false">IF($B971="","",IFERROR(LOOKUP(2^15,SEARCH(Rules!$A$2:$A$200&amp;"",$B971)/(Rules!$A$2:$A$200&lt;&gt;""),Rules!$B$2:$B$200),"Uncategorized"))</f>
        <v/>
      </c>
      <c r="E971" s="3" t="str">
        <f aca="false">IF($B971="","",IF($C971&gt;=0,"Income","Expense"))</f>
        <v/>
      </c>
      <c r="F971" s="3" t="str">
        <f aca="false">IF($B971="","",IFERROR(LOOKUP(2^15,SEARCH(Rules!$A$2:$A$200&amp;"",$B971)/(Rules!$A$2:$A$200&lt;&gt;""),Rules!$A$2:$A$200),""))</f>
        <v/>
      </c>
      <c r="G971" s="3" t="str">
        <f aca="false">IF($B971="","",IF(D971="Uncategorized","⚠ Review",IF(IFERROR(LOOKUP(2^15,SEARCH(Rules!$A$2:$A$200&amp;"",$B971)/(Rules!$A$2:$A$200&lt;&gt;""),Rules!$C$2:$C$200),"")&lt;&gt;E971,"⚠ Check sign","OK")))</f>
        <v/>
      </c>
    </row>
    <row r="972" customFormat="false" ht="15" hidden="false" customHeight="false" outlineLevel="0" collapsed="false">
      <c r="A972" s="3"/>
      <c r="B972" s="3"/>
      <c r="C972" s="3"/>
      <c r="D972" s="3" t="str">
        <f aca="false">IF($B972="","",IFERROR(LOOKUP(2^15,SEARCH(Rules!$A$2:$A$200&amp;"",$B972)/(Rules!$A$2:$A$200&lt;&gt;""),Rules!$B$2:$B$200),"Uncategorized"))</f>
        <v/>
      </c>
      <c r="E972" s="3" t="str">
        <f aca="false">IF($B972="","",IF($C972&gt;=0,"Income","Expense"))</f>
        <v/>
      </c>
      <c r="F972" s="3" t="str">
        <f aca="false">IF($B972="","",IFERROR(LOOKUP(2^15,SEARCH(Rules!$A$2:$A$200&amp;"",$B972)/(Rules!$A$2:$A$200&lt;&gt;""),Rules!$A$2:$A$200),""))</f>
        <v/>
      </c>
      <c r="G972" s="3" t="str">
        <f aca="false">IF($B972="","",IF(D972="Uncategorized","⚠ Review",IF(IFERROR(LOOKUP(2^15,SEARCH(Rules!$A$2:$A$200&amp;"",$B972)/(Rules!$A$2:$A$200&lt;&gt;""),Rules!$C$2:$C$200),"")&lt;&gt;E972,"⚠ Check sign","OK")))</f>
        <v/>
      </c>
    </row>
    <row r="973" customFormat="false" ht="15" hidden="false" customHeight="false" outlineLevel="0" collapsed="false">
      <c r="A973" s="3"/>
      <c r="B973" s="3"/>
      <c r="C973" s="3"/>
      <c r="D973" s="3" t="str">
        <f aca="false">IF($B973="","",IFERROR(LOOKUP(2^15,SEARCH(Rules!$A$2:$A$200&amp;"",$B973)/(Rules!$A$2:$A$200&lt;&gt;""),Rules!$B$2:$B$200),"Uncategorized"))</f>
        <v/>
      </c>
      <c r="E973" s="3" t="str">
        <f aca="false">IF($B973="","",IF($C973&gt;=0,"Income","Expense"))</f>
        <v/>
      </c>
      <c r="F973" s="3" t="str">
        <f aca="false">IF($B973="","",IFERROR(LOOKUP(2^15,SEARCH(Rules!$A$2:$A$200&amp;"",$B973)/(Rules!$A$2:$A$200&lt;&gt;""),Rules!$A$2:$A$200),""))</f>
        <v/>
      </c>
      <c r="G973" s="3" t="str">
        <f aca="false">IF($B973="","",IF(D973="Uncategorized","⚠ Review",IF(IFERROR(LOOKUP(2^15,SEARCH(Rules!$A$2:$A$200&amp;"",$B973)/(Rules!$A$2:$A$200&lt;&gt;""),Rules!$C$2:$C$200),"")&lt;&gt;E973,"⚠ Check sign","OK")))</f>
        <v/>
      </c>
    </row>
    <row r="974" customFormat="false" ht="15" hidden="false" customHeight="false" outlineLevel="0" collapsed="false">
      <c r="A974" s="3"/>
      <c r="B974" s="3"/>
      <c r="C974" s="3"/>
      <c r="D974" s="3" t="str">
        <f aca="false">IF($B974="","",IFERROR(LOOKUP(2^15,SEARCH(Rules!$A$2:$A$200&amp;"",$B974)/(Rules!$A$2:$A$200&lt;&gt;""),Rules!$B$2:$B$200),"Uncategorized"))</f>
        <v/>
      </c>
      <c r="E974" s="3" t="str">
        <f aca="false">IF($B974="","",IF($C974&gt;=0,"Income","Expense"))</f>
        <v/>
      </c>
      <c r="F974" s="3" t="str">
        <f aca="false">IF($B974="","",IFERROR(LOOKUP(2^15,SEARCH(Rules!$A$2:$A$200&amp;"",$B974)/(Rules!$A$2:$A$200&lt;&gt;""),Rules!$A$2:$A$200),""))</f>
        <v/>
      </c>
      <c r="G974" s="3" t="str">
        <f aca="false">IF($B974="","",IF(D974="Uncategorized","⚠ Review",IF(IFERROR(LOOKUP(2^15,SEARCH(Rules!$A$2:$A$200&amp;"",$B974)/(Rules!$A$2:$A$200&lt;&gt;""),Rules!$C$2:$C$200),"")&lt;&gt;E974,"⚠ Check sign","OK")))</f>
        <v/>
      </c>
    </row>
    <row r="975" customFormat="false" ht="15" hidden="false" customHeight="false" outlineLevel="0" collapsed="false">
      <c r="A975" s="3"/>
      <c r="B975" s="3"/>
      <c r="C975" s="3"/>
      <c r="D975" s="3" t="str">
        <f aca="false">IF($B975="","",IFERROR(LOOKUP(2^15,SEARCH(Rules!$A$2:$A$200&amp;"",$B975)/(Rules!$A$2:$A$200&lt;&gt;""),Rules!$B$2:$B$200),"Uncategorized"))</f>
        <v/>
      </c>
      <c r="E975" s="3" t="str">
        <f aca="false">IF($B975="","",IF($C975&gt;=0,"Income","Expense"))</f>
        <v/>
      </c>
      <c r="F975" s="3" t="str">
        <f aca="false">IF($B975="","",IFERROR(LOOKUP(2^15,SEARCH(Rules!$A$2:$A$200&amp;"",$B975)/(Rules!$A$2:$A$200&lt;&gt;""),Rules!$A$2:$A$200),""))</f>
        <v/>
      </c>
      <c r="G975" s="3" t="str">
        <f aca="false">IF($B975="","",IF(D975="Uncategorized","⚠ Review",IF(IFERROR(LOOKUP(2^15,SEARCH(Rules!$A$2:$A$200&amp;"",$B975)/(Rules!$A$2:$A$200&lt;&gt;""),Rules!$C$2:$C$200),"")&lt;&gt;E975,"⚠ Check sign","OK")))</f>
        <v/>
      </c>
    </row>
    <row r="976" customFormat="false" ht="15" hidden="false" customHeight="false" outlineLevel="0" collapsed="false">
      <c r="A976" s="3"/>
      <c r="B976" s="3"/>
      <c r="C976" s="3"/>
      <c r="D976" s="3" t="str">
        <f aca="false">IF($B976="","",IFERROR(LOOKUP(2^15,SEARCH(Rules!$A$2:$A$200&amp;"",$B976)/(Rules!$A$2:$A$200&lt;&gt;""),Rules!$B$2:$B$200),"Uncategorized"))</f>
        <v/>
      </c>
      <c r="E976" s="3" t="str">
        <f aca="false">IF($B976="","",IF($C976&gt;=0,"Income","Expense"))</f>
        <v/>
      </c>
      <c r="F976" s="3" t="str">
        <f aca="false">IF($B976="","",IFERROR(LOOKUP(2^15,SEARCH(Rules!$A$2:$A$200&amp;"",$B976)/(Rules!$A$2:$A$200&lt;&gt;""),Rules!$A$2:$A$200),""))</f>
        <v/>
      </c>
      <c r="G976" s="3" t="str">
        <f aca="false">IF($B976="","",IF(D976="Uncategorized","⚠ Review",IF(IFERROR(LOOKUP(2^15,SEARCH(Rules!$A$2:$A$200&amp;"",$B976)/(Rules!$A$2:$A$200&lt;&gt;""),Rules!$C$2:$C$200),"")&lt;&gt;E976,"⚠ Check sign","OK")))</f>
        <v/>
      </c>
    </row>
    <row r="977" customFormat="false" ht="15" hidden="false" customHeight="false" outlineLevel="0" collapsed="false">
      <c r="A977" s="3"/>
      <c r="B977" s="3"/>
      <c r="C977" s="3"/>
      <c r="D977" s="3" t="str">
        <f aca="false">IF($B977="","",IFERROR(LOOKUP(2^15,SEARCH(Rules!$A$2:$A$200&amp;"",$B977)/(Rules!$A$2:$A$200&lt;&gt;""),Rules!$B$2:$B$200),"Uncategorized"))</f>
        <v/>
      </c>
      <c r="E977" s="3" t="str">
        <f aca="false">IF($B977="","",IF($C977&gt;=0,"Income","Expense"))</f>
        <v/>
      </c>
      <c r="F977" s="3" t="str">
        <f aca="false">IF($B977="","",IFERROR(LOOKUP(2^15,SEARCH(Rules!$A$2:$A$200&amp;"",$B977)/(Rules!$A$2:$A$200&lt;&gt;""),Rules!$A$2:$A$200),""))</f>
        <v/>
      </c>
      <c r="G977" s="3" t="str">
        <f aca="false">IF($B977="","",IF(D977="Uncategorized","⚠ Review",IF(IFERROR(LOOKUP(2^15,SEARCH(Rules!$A$2:$A$200&amp;"",$B977)/(Rules!$A$2:$A$200&lt;&gt;""),Rules!$C$2:$C$200),"")&lt;&gt;E977,"⚠ Check sign","OK")))</f>
        <v/>
      </c>
    </row>
    <row r="978" customFormat="false" ht="15" hidden="false" customHeight="false" outlineLevel="0" collapsed="false">
      <c r="A978" s="3"/>
      <c r="B978" s="3"/>
      <c r="C978" s="3"/>
      <c r="D978" s="3" t="str">
        <f aca="false">IF($B978="","",IFERROR(LOOKUP(2^15,SEARCH(Rules!$A$2:$A$200&amp;"",$B978)/(Rules!$A$2:$A$200&lt;&gt;""),Rules!$B$2:$B$200),"Uncategorized"))</f>
        <v/>
      </c>
      <c r="E978" s="3" t="str">
        <f aca="false">IF($B978="","",IF($C978&gt;=0,"Income","Expense"))</f>
        <v/>
      </c>
      <c r="F978" s="3" t="str">
        <f aca="false">IF($B978="","",IFERROR(LOOKUP(2^15,SEARCH(Rules!$A$2:$A$200&amp;"",$B978)/(Rules!$A$2:$A$200&lt;&gt;""),Rules!$A$2:$A$200),""))</f>
        <v/>
      </c>
      <c r="G978" s="3" t="str">
        <f aca="false">IF($B978="","",IF(D978="Uncategorized","⚠ Review",IF(IFERROR(LOOKUP(2^15,SEARCH(Rules!$A$2:$A$200&amp;"",$B978)/(Rules!$A$2:$A$200&lt;&gt;""),Rules!$C$2:$C$200),"")&lt;&gt;E978,"⚠ Check sign","OK")))</f>
        <v/>
      </c>
    </row>
    <row r="979" customFormat="false" ht="15" hidden="false" customHeight="false" outlineLevel="0" collapsed="false">
      <c r="A979" s="3"/>
      <c r="B979" s="3"/>
      <c r="C979" s="3"/>
      <c r="D979" s="3" t="str">
        <f aca="false">IF($B979="","",IFERROR(LOOKUP(2^15,SEARCH(Rules!$A$2:$A$200&amp;"",$B979)/(Rules!$A$2:$A$200&lt;&gt;""),Rules!$B$2:$B$200),"Uncategorized"))</f>
        <v/>
      </c>
      <c r="E979" s="3" t="str">
        <f aca="false">IF($B979="","",IF($C979&gt;=0,"Income","Expense"))</f>
        <v/>
      </c>
      <c r="F979" s="3" t="str">
        <f aca="false">IF($B979="","",IFERROR(LOOKUP(2^15,SEARCH(Rules!$A$2:$A$200&amp;"",$B979)/(Rules!$A$2:$A$200&lt;&gt;""),Rules!$A$2:$A$200),""))</f>
        <v/>
      </c>
      <c r="G979" s="3" t="str">
        <f aca="false">IF($B979="","",IF(D979="Uncategorized","⚠ Review",IF(IFERROR(LOOKUP(2^15,SEARCH(Rules!$A$2:$A$200&amp;"",$B979)/(Rules!$A$2:$A$200&lt;&gt;""),Rules!$C$2:$C$200),"")&lt;&gt;E979,"⚠ Check sign","OK")))</f>
        <v/>
      </c>
    </row>
    <row r="980" customFormat="false" ht="15" hidden="false" customHeight="false" outlineLevel="0" collapsed="false">
      <c r="A980" s="3"/>
      <c r="B980" s="3"/>
      <c r="C980" s="3"/>
      <c r="D980" s="3" t="str">
        <f aca="false">IF($B980="","",IFERROR(LOOKUP(2^15,SEARCH(Rules!$A$2:$A$200&amp;"",$B980)/(Rules!$A$2:$A$200&lt;&gt;""),Rules!$B$2:$B$200),"Uncategorized"))</f>
        <v/>
      </c>
      <c r="E980" s="3" t="str">
        <f aca="false">IF($B980="","",IF($C980&gt;=0,"Income","Expense"))</f>
        <v/>
      </c>
      <c r="F980" s="3" t="str">
        <f aca="false">IF($B980="","",IFERROR(LOOKUP(2^15,SEARCH(Rules!$A$2:$A$200&amp;"",$B980)/(Rules!$A$2:$A$200&lt;&gt;""),Rules!$A$2:$A$200),""))</f>
        <v/>
      </c>
      <c r="G980" s="3" t="str">
        <f aca="false">IF($B980="","",IF(D980="Uncategorized","⚠ Review",IF(IFERROR(LOOKUP(2^15,SEARCH(Rules!$A$2:$A$200&amp;"",$B980)/(Rules!$A$2:$A$200&lt;&gt;""),Rules!$C$2:$C$200),"")&lt;&gt;E980,"⚠ Check sign","OK")))</f>
        <v/>
      </c>
    </row>
    <row r="981" customFormat="false" ht="15" hidden="false" customHeight="false" outlineLevel="0" collapsed="false">
      <c r="A981" s="3"/>
      <c r="B981" s="3"/>
      <c r="C981" s="3"/>
      <c r="D981" s="3" t="str">
        <f aca="false">IF($B981="","",IFERROR(LOOKUP(2^15,SEARCH(Rules!$A$2:$A$200&amp;"",$B981)/(Rules!$A$2:$A$200&lt;&gt;""),Rules!$B$2:$B$200),"Uncategorized"))</f>
        <v/>
      </c>
      <c r="E981" s="3" t="str">
        <f aca="false">IF($B981="","",IF($C981&gt;=0,"Income","Expense"))</f>
        <v/>
      </c>
      <c r="F981" s="3" t="str">
        <f aca="false">IF($B981="","",IFERROR(LOOKUP(2^15,SEARCH(Rules!$A$2:$A$200&amp;"",$B981)/(Rules!$A$2:$A$200&lt;&gt;""),Rules!$A$2:$A$200),""))</f>
        <v/>
      </c>
      <c r="G981" s="3" t="str">
        <f aca="false">IF($B981="","",IF(D981="Uncategorized","⚠ Review",IF(IFERROR(LOOKUP(2^15,SEARCH(Rules!$A$2:$A$200&amp;"",$B981)/(Rules!$A$2:$A$200&lt;&gt;""),Rules!$C$2:$C$200),"")&lt;&gt;E981,"⚠ Check sign","OK")))</f>
        <v/>
      </c>
    </row>
    <row r="982" customFormat="false" ht="15" hidden="false" customHeight="false" outlineLevel="0" collapsed="false">
      <c r="A982" s="3"/>
      <c r="B982" s="3"/>
      <c r="C982" s="3"/>
      <c r="D982" s="3" t="str">
        <f aca="false">IF($B982="","",IFERROR(LOOKUP(2^15,SEARCH(Rules!$A$2:$A$200&amp;"",$B982)/(Rules!$A$2:$A$200&lt;&gt;""),Rules!$B$2:$B$200),"Uncategorized"))</f>
        <v/>
      </c>
      <c r="E982" s="3" t="str">
        <f aca="false">IF($B982="","",IF($C982&gt;=0,"Income","Expense"))</f>
        <v/>
      </c>
      <c r="F982" s="3" t="str">
        <f aca="false">IF($B982="","",IFERROR(LOOKUP(2^15,SEARCH(Rules!$A$2:$A$200&amp;"",$B982)/(Rules!$A$2:$A$200&lt;&gt;""),Rules!$A$2:$A$200),""))</f>
        <v/>
      </c>
      <c r="G982" s="3" t="str">
        <f aca="false">IF($B982="","",IF(D982="Uncategorized","⚠ Review",IF(IFERROR(LOOKUP(2^15,SEARCH(Rules!$A$2:$A$200&amp;"",$B982)/(Rules!$A$2:$A$200&lt;&gt;""),Rules!$C$2:$C$200),"")&lt;&gt;E982,"⚠ Check sign","OK")))</f>
        <v/>
      </c>
    </row>
    <row r="983" customFormat="false" ht="15" hidden="false" customHeight="false" outlineLevel="0" collapsed="false">
      <c r="A983" s="3"/>
      <c r="B983" s="3"/>
      <c r="C983" s="3"/>
      <c r="D983" s="3" t="str">
        <f aca="false">IF($B983="","",IFERROR(LOOKUP(2^15,SEARCH(Rules!$A$2:$A$200&amp;"",$B983)/(Rules!$A$2:$A$200&lt;&gt;""),Rules!$B$2:$B$200),"Uncategorized"))</f>
        <v/>
      </c>
      <c r="E983" s="3" t="str">
        <f aca="false">IF($B983="","",IF($C983&gt;=0,"Income","Expense"))</f>
        <v/>
      </c>
      <c r="F983" s="3" t="str">
        <f aca="false">IF($B983="","",IFERROR(LOOKUP(2^15,SEARCH(Rules!$A$2:$A$200&amp;"",$B983)/(Rules!$A$2:$A$200&lt;&gt;""),Rules!$A$2:$A$200),""))</f>
        <v/>
      </c>
      <c r="G983" s="3" t="str">
        <f aca="false">IF($B983="","",IF(D983="Uncategorized","⚠ Review",IF(IFERROR(LOOKUP(2^15,SEARCH(Rules!$A$2:$A$200&amp;"",$B983)/(Rules!$A$2:$A$200&lt;&gt;""),Rules!$C$2:$C$200),"")&lt;&gt;E983,"⚠ Check sign","OK")))</f>
        <v/>
      </c>
    </row>
    <row r="984" customFormat="false" ht="15" hidden="false" customHeight="false" outlineLevel="0" collapsed="false">
      <c r="A984" s="3"/>
      <c r="B984" s="3"/>
      <c r="C984" s="3"/>
      <c r="D984" s="3" t="str">
        <f aca="false">IF($B984="","",IFERROR(LOOKUP(2^15,SEARCH(Rules!$A$2:$A$200&amp;"",$B984)/(Rules!$A$2:$A$200&lt;&gt;""),Rules!$B$2:$B$200),"Uncategorized"))</f>
        <v/>
      </c>
      <c r="E984" s="3" t="str">
        <f aca="false">IF($B984="","",IF($C984&gt;=0,"Income","Expense"))</f>
        <v/>
      </c>
      <c r="F984" s="3" t="str">
        <f aca="false">IF($B984="","",IFERROR(LOOKUP(2^15,SEARCH(Rules!$A$2:$A$200&amp;"",$B984)/(Rules!$A$2:$A$200&lt;&gt;""),Rules!$A$2:$A$200),""))</f>
        <v/>
      </c>
      <c r="G984" s="3" t="str">
        <f aca="false">IF($B984="","",IF(D984="Uncategorized","⚠ Review",IF(IFERROR(LOOKUP(2^15,SEARCH(Rules!$A$2:$A$200&amp;"",$B984)/(Rules!$A$2:$A$200&lt;&gt;""),Rules!$C$2:$C$200),"")&lt;&gt;E984,"⚠ Check sign","OK")))</f>
        <v/>
      </c>
    </row>
    <row r="985" customFormat="false" ht="15" hidden="false" customHeight="false" outlineLevel="0" collapsed="false">
      <c r="A985" s="3"/>
      <c r="B985" s="3"/>
      <c r="C985" s="3"/>
      <c r="D985" s="3" t="str">
        <f aca="false">IF($B985="","",IFERROR(LOOKUP(2^15,SEARCH(Rules!$A$2:$A$200&amp;"",$B985)/(Rules!$A$2:$A$200&lt;&gt;""),Rules!$B$2:$B$200),"Uncategorized"))</f>
        <v/>
      </c>
      <c r="E985" s="3" t="str">
        <f aca="false">IF($B985="","",IF($C985&gt;=0,"Income","Expense"))</f>
        <v/>
      </c>
      <c r="F985" s="3" t="str">
        <f aca="false">IF($B985="","",IFERROR(LOOKUP(2^15,SEARCH(Rules!$A$2:$A$200&amp;"",$B985)/(Rules!$A$2:$A$200&lt;&gt;""),Rules!$A$2:$A$200),""))</f>
        <v/>
      </c>
      <c r="G985" s="3" t="str">
        <f aca="false">IF($B985="","",IF(D985="Uncategorized","⚠ Review",IF(IFERROR(LOOKUP(2^15,SEARCH(Rules!$A$2:$A$200&amp;"",$B985)/(Rules!$A$2:$A$200&lt;&gt;""),Rules!$C$2:$C$200),"")&lt;&gt;E985,"⚠ Check sign","OK")))</f>
        <v/>
      </c>
    </row>
    <row r="986" customFormat="false" ht="15" hidden="false" customHeight="false" outlineLevel="0" collapsed="false">
      <c r="A986" s="3"/>
      <c r="B986" s="3"/>
      <c r="C986" s="3"/>
      <c r="D986" s="3" t="str">
        <f aca="false">IF($B986="","",IFERROR(LOOKUP(2^15,SEARCH(Rules!$A$2:$A$200&amp;"",$B986)/(Rules!$A$2:$A$200&lt;&gt;""),Rules!$B$2:$B$200),"Uncategorized"))</f>
        <v/>
      </c>
      <c r="E986" s="3" t="str">
        <f aca="false">IF($B986="","",IF($C986&gt;=0,"Income","Expense"))</f>
        <v/>
      </c>
      <c r="F986" s="3" t="str">
        <f aca="false">IF($B986="","",IFERROR(LOOKUP(2^15,SEARCH(Rules!$A$2:$A$200&amp;"",$B986)/(Rules!$A$2:$A$200&lt;&gt;""),Rules!$A$2:$A$200),""))</f>
        <v/>
      </c>
      <c r="G986" s="3" t="str">
        <f aca="false">IF($B986="","",IF(D986="Uncategorized","⚠ Review",IF(IFERROR(LOOKUP(2^15,SEARCH(Rules!$A$2:$A$200&amp;"",$B986)/(Rules!$A$2:$A$200&lt;&gt;""),Rules!$C$2:$C$200),"")&lt;&gt;E986,"⚠ Check sign","OK")))</f>
        <v/>
      </c>
    </row>
    <row r="987" customFormat="false" ht="15" hidden="false" customHeight="false" outlineLevel="0" collapsed="false">
      <c r="A987" s="3"/>
      <c r="B987" s="3"/>
      <c r="C987" s="3"/>
      <c r="D987" s="3" t="str">
        <f aca="false">IF($B987="","",IFERROR(LOOKUP(2^15,SEARCH(Rules!$A$2:$A$200&amp;"",$B987)/(Rules!$A$2:$A$200&lt;&gt;""),Rules!$B$2:$B$200),"Uncategorized"))</f>
        <v/>
      </c>
      <c r="E987" s="3" t="str">
        <f aca="false">IF($B987="","",IF($C987&gt;=0,"Income","Expense"))</f>
        <v/>
      </c>
      <c r="F987" s="3" t="str">
        <f aca="false">IF($B987="","",IFERROR(LOOKUP(2^15,SEARCH(Rules!$A$2:$A$200&amp;"",$B987)/(Rules!$A$2:$A$200&lt;&gt;""),Rules!$A$2:$A$200),""))</f>
        <v/>
      </c>
      <c r="G987" s="3" t="str">
        <f aca="false">IF($B987="","",IF(D987="Uncategorized","⚠ Review",IF(IFERROR(LOOKUP(2^15,SEARCH(Rules!$A$2:$A$200&amp;"",$B987)/(Rules!$A$2:$A$200&lt;&gt;""),Rules!$C$2:$C$200),"")&lt;&gt;E987,"⚠ Check sign","OK")))</f>
        <v/>
      </c>
    </row>
    <row r="988" customFormat="false" ht="15" hidden="false" customHeight="false" outlineLevel="0" collapsed="false">
      <c r="A988" s="3"/>
      <c r="B988" s="3"/>
      <c r="C988" s="3"/>
      <c r="D988" s="3" t="str">
        <f aca="false">IF($B988="","",IFERROR(LOOKUP(2^15,SEARCH(Rules!$A$2:$A$200&amp;"",$B988)/(Rules!$A$2:$A$200&lt;&gt;""),Rules!$B$2:$B$200),"Uncategorized"))</f>
        <v/>
      </c>
      <c r="E988" s="3" t="str">
        <f aca="false">IF($B988="","",IF($C988&gt;=0,"Income","Expense"))</f>
        <v/>
      </c>
      <c r="F988" s="3" t="str">
        <f aca="false">IF($B988="","",IFERROR(LOOKUP(2^15,SEARCH(Rules!$A$2:$A$200&amp;"",$B988)/(Rules!$A$2:$A$200&lt;&gt;""),Rules!$A$2:$A$200),""))</f>
        <v/>
      </c>
      <c r="G988" s="3" t="str">
        <f aca="false">IF($B988="","",IF(D988="Uncategorized","⚠ Review",IF(IFERROR(LOOKUP(2^15,SEARCH(Rules!$A$2:$A$200&amp;"",$B988)/(Rules!$A$2:$A$200&lt;&gt;""),Rules!$C$2:$C$200),"")&lt;&gt;E988,"⚠ Check sign","OK")))</f>
        <v/>
      </c>
    </row>
    <row r="989" customFormat="false" ht="15" hidden="false" customHeight="false" outlineLevel="0" collapsed="false">
      <c r="A989" s="3"/>
      <c r="B989" s="3"/>
      <c r="C989" s="3"/>
      <c r="D989" s="3" t="str">
        <f aca="false">IF($B989="","",IFERROR(LOOKUP(2^15,SEARCH(Rules!$A$2:$A$200&amp;"",$B989)/(Rules!$A$2:$A$200&lt;&gt;""),Rules!$B$2:$B$200),"Uncategorized"))</f>
        <v/>
      </c>
      <c r="E989" s="3" t="str">
        <f aca="false">IF($B989="","",IF($C989&gt;=0,"Income","Expense"))</f>
        <v/>
      </c>
      <c r="F989" s="3" t="str">
        <f aca="false">IF($B989="","",IFERROR(LOOKUP(2^15,SEARCH(Rules!$A$2:$A$200&amp;"",$B989)/(Rules!$A$2:$A$200&lt;&gt;""),Rules!$A$2:$A$200),""))</f>
        <v/>
      </c>
      <c r="G989" s="3" t="str">
        <f aca="false">IF($B989="","",IF(D989="Uncategorized","⚠ Review",IF(IFERROR(LOOKUP(2^15,SEARCH(Rules!$A$2:$A$200&amp;"",$B989)/(Rules!$A$2:$A$200&lt;&gt;""),Rules!$C$2:$C$200),"")&lt;&gt;E989,"⚠ Check sign","OK")))</f>
        <v/>
      </c>
    </row>
    <row r="990" customFormat="false" ht="15" hidden="false" customHeight="false" outlineLevel="0" collapsed="false">
      <c r="A990" s="3"/>
      <c r="B990" s="3"/>
      <c r="C990" s="3"/>
      <c r="D990" s="3" t="str">
        <f aca="false">IF($B990="","",IFERROR(LOOKUP(2^15,SEARCH(Rules!$A$2:$A$200&amp;"",$B990)/(Rules!$A$2:$A$200&lt;&gt;""),Rules!$B$2:$B$200),"Uncategorized"))</f>
        <v/>
      </c>
      <c r="E990" s="3" t="str">
        <f aca="false">IF($B990="","",IF($C990&gt;=0,"Income","Expense"))</f>
        <v/>
      </c>
      <c r="F990" s="3" t="str">
        <f aca="false">IF($B990="","",IFERROR(LOOKUP(2^15,SEARCH(Rules!$A$2:$A$200&amp;"",$B990)/(Rules!$A$2:$A$200&lt;&gt;""),Rules!$A$2:$A$200),""))</f>
        <v/>
      </c>
      <c r="G990" s="3" t="str">
        <f aca="false">IF($B990="","",IF(D990="Uncategorized","⚠ Review",IF(IFERROR(LOOKUP(2^15,SEARCH(Rules!$A$2:$A$200&amp;"",$B990)/(Rules!$A$2:$A$200&lt;&gt;""),Rules!$C$2:$C$200),"")&lt;&gt;E990,"⚠ Check sign","OK")))</f>
        <v/>
      </c>
    </row>
    <row r="991" customFormat="false" ht="15" hidden="false" customHeight="false" outlineLevel="0" collapsed="false">
      <c r="A991" s="3"/>
      <c r="B991" s="3"/>
      <c r="C991" s="3"/>
      <c r="D991" s="3" t="str">
        <f aca="false">IF($B991="","",IFERROR(LOOKUP(2^15,SEARCH(Rules!$A$2:$A$200&amp;"",$B991)/(Rules!$A$2:$A$200&lt;&gt;""),Rules!$B$2:$B$200),"Uncategorized"))</f>
        <v/>
      </c>
      <c r="E991" s="3" t="str">
        <f aca="false">IF($B991="","",IF($C991&gt;=0,"Income","Expense"))</f>
        <v/>
      </c>
      <c r="F991" s="3" t="str">
        <f aca="false">IF($B991="","",IFERROR(LOOKUP(2^15,SEARCH(Rules!$A$2:$A$200&amp;"",$B991)/(Rules!$A$2:$A$200&lt;&gt;""),Rules!$A$2:$A$200),""))</f>
        <v/>
      </c>
      <c r="G991" s="3" t="str">
        <f aca="false">IF($B991="","",IF(D991="Uncategorized","⚠ Review",IF(IFERROR(LOOKUP(2^15,SEARCH(Rules!$A$2:$A$200&amp;"",$B991)/(Rules!$A$2:$A$200&lt;&gt;""),Rules!$C$2:$C$200),"")&lt;&gt;E991,"⚠ Check sign","OK")))</f>
        <v/>
      </c>
    </row>
    <row r="992" customFormat="false" ht="15" hidden="false" customHeight="false" outlineLevel="0" collapsed="false">
      <c r="A992" s="3"/>
      <c r="B992" s="3"/>
      <c r="C992" s="3"/>
      <c r="D992" s="3" t="str">
        <f aca="false">IF($B992="","",IFERROR(LOOKUP(2^15,SEARCH(Rules!$A$2:$A$200&amp;"",$B992)/(Rules!$A$2:$A$200&lt;&gt;""),Rules!$B$2:$B$200),"Uncategorized"))</f>
        <v/>
      </c>
      <c r="E992" s="3" t="str">
        <f aca="false">IF($B992="","",IF($C992&gt;=0,"Income","Expense"))</f>
        <v/>
      </c>
      <c r="F992" s="3" t="str">
        <f aca="false">IF($B992="","",IFERROR(LOOKUP(2^15,SEARCH(Rules!$A$2:$A$200&amp;"",$B992)/(Rules!$A$2:$A$200&lt;&gt;""),Rules!$A$2:$A$200),""))</f>
        <v/>
      </c>
      <c r="G992" s="3" t="str">
        <f aca="false">IF($B992="","",IF(D992="Uncategorized","⚠ Review",IF(IFERROR(LOOKUP(2^15,SEARCH(Rules!$A$2:$A$200&amp;"",$B992)/(Rules!$A$2:$A$200&lt;&gt;""),Rules!$C$2:$C$200),"")&lt;&gt;E992,"⚠ Check sign","OK")))</f>
        <v/>
      </c>
    </row>
    <row r="993" customFormat="false" ht="15" hidden="false" customHeight="false" outlineLevel="0" collapsed="false">
      <c r="A993" s="3"/>
      <c r="B993" s="3"/>
      <c r="C993" s="3"/>
      <c r="D993" s="3" t="str">
        <f aca="false">IF($B993="","",IFERROR(LOOKUP(2^15,SEARCH(Rules!$A$2:$A$200&amp;"",$B993)/(Rules!$A$2:$A$200&lt;&gt;""),Rules!$B$2:$B$200),"Uncategorized"))</f>
        <v/>
      </c>
      <c r="E993" s="3" t="str">
        <f aca="false">IF($B993="","",IF($C993&gt;=0,"Income","Expense"))</f>
        <v/>
      </c>
      <c r="F993" s="3" t="str">
        <f aca="false">IF($B993="","",IFERROR(LOOKUP(2^15,SEARCH(Rules!$A$2:$A$200&amp;"",$B993)/(Rules!$A$2:$A$200&lt;&gt;""),Rules!$A$2:$A$200),""))</f>
        <v/>
      </c>
      <c r="G993" s="3" t="str">
        <f aca="false">IF($B993="","",IF(D993="Uncategorized","⚠ Review",IF(IFERROR(LOOKUP(2^15,SEARCH(Rules!$A$2:$A$200&amp;"",$B993)/(Rules!$A$2:$A$200&lt;&gt;""),Rules!$C$2:$C$200),"")&lt;&gt;E993,"⚠ Check sign","OK")))</f>
        <v/>
      </c>
    </row>
    <row r="994" customFormat="false" ht="15" hidden="false" customHeight="false" outlineLevel="0" collapsed="false">
      <c r="A994" s="3"/>
      <c r="B994" s="3"/>
      <c r="C994" s="3"/>
      <c r="D994" s="3" t="str">
        <f aca="false">IF($B994="","",IFERROR(LOOKUP(2^15,SEARCH(Rules!$A$2:$A$200&amp;"",$B994)/(Rules!$A$2:$A$200&lt;&gt;""),Rules!$B$2:$B$200),"Uncategorized"))</f>
        <v/>
      </c>
      <c r="E994" s="3" t="str">
        <f aca="false">IF($B994="","",IF($C994&gt;=0,"Income","Expense"))</f>
        <v/>
      </c>
      <c r="F994" s="3" t="str">
        <f aca="false">IF($B994="","",IFERROR(LOOKUP(2^15,SEARCH(Rules!$A$2:$A$200&amp;"",$B994)/(Rules!$A$2:$A$200&lt;&gt;""),Rules!$A$2:$A$200),""))</f>
        <v/>
      </c>
      <c r="G994" s="3" t="str">
        <f aca="false">IF($B994="","",IF(D994="Uncategorized","⚠ Review",IF(IFERROR(LOOKUP(2^15,SEARCH(Rules!$A$2:$A$200&amp;"",$B994)/(Rules!$A$2:$A$200&lt;&gt;""),Rules!$C$2:$C$200),"")&lt;&gt;E994,"⚠ Check sign","OK")))</f>
        <v/>
      </c>
    </row>
    <row r="995" customFormat="false" ht="15" hidden="false" customHeight="false" outlineLevel="0" collapsed="false">
      <c r="A995" s="3"/>
      <c r="B995" s="3"/>
      <c r="C995" s="3"/>
      <c r="D995" s="3" t="str">
        <f aca="false">IF($B995="","",IFERROR(LOOKUP(2^15,SEARCH(Rules!$A$2:$A$200&amp;"",$B995)/(Rules!$A$2:$A$200&lt;&gt;""),Rules!$B$2:$B$200),"Uncategorized"))</f>
        <v/>
      </c>
      <c r="E995" s="3" t="str">
        <f aca="false">IF($B995="","",IF($C995&gt;=0,"Income","Expense"))</f>
        <v/>
      </c>
      <c r="F995" s="3" t="str">
        <f aca="false">IF($B995="","",IFERROR(LOOKUP(2^15,SEARCH(Rules!$A$2:$A$200&amp;"",$B995)/(Rules!$A$2:$A$200&lt;&gt;""),Rules!$A$2:$A$200),""))</f>
        <v/>
      </c>
      <c r="G995" s="3" t="str">
        <f aca="false">IF($B995="","",IF(D995="Uncategorized","⚠ Review",IF(IFERROR(LOOKUP(2^15,SEARCH(Rules!$A$2:$A$200&amp;"",$B995)/(Rules!$A$2:$A$200&lt;&gt;""),Rules!$C$2:$C$200),"")&lt;&gt;E995,"⚠ Check sign","OK")))</f>
        <v/>
      </c>
    </row>
    <row r="996" customFormat="false" ht="15" hidden="false" customHeight="false" outlineLevel="0" collapsed="false">
      <c r="A996" s="3"/>
      <c r="B996" s="3"/>
      <c r="C996" s="3"/>
      <c r="D996" s="3" t="str">
        <f aca="false">IF($B996="","",IFERROR(LOOKUP(2^15,SEARCH(Rules!$A$2:$A$200&amp;"",$B996)/(Rules!$A$2:$A$200&lt;&gt;""),Rules!$B$2:$B$200),"Uncategorized"))</f>
        <v/>
      </c>
      <c r="E996" s="3" t="str">
        <f aca="false">IF($B996="","",IF($C996&gt;=0,"Income","Expense"))</f>
        <v/>
      </c>
      <c r="F996" s="3" t="str">
        <f aca="false">IF($B996="","",IFERROR(LOOKUP(2^15,SEARCH(Rules!$A$2:$A$200&amp;"",$B996)/(Rules!$A$2:$A$200&lt;&gt;""),Rules!$A$2:$A$200),""))</f>
        <v/>
      </c>
      <c r="G996" s="3" t="str">
        <f aca="false">IF($B996="","",IF(D996="Uncategorized","⚠ Review",IF(IFERROR(LOOKUP(2^15,SEARCH(Rules!$A$2:$A$200&amp;"",$B996)/(Rules!$A$2:$A$200&lt;&gt;""),Rules!$C$2:$C$200),"")&lt;&gt;E996,"⚠ Check sign","OK")))</f>
        <v/>
      </c>
    </row>
    <row r="997" customFormat="false" ht="15" hidden="false" customHeight="false" outlineLevel="0" collapsed="false">
      <c r="A997" s="3"/>
      <c r="B997" s="3"/>
      <c r="C997" s="3"/>
      <c r="D997" s="3" t="str">
        <f aca="false">IF($B997="","",IFERROR(LOOKUP(2^15,SEARCH(Rules!$A$2:$A$200&amp;"",$B997)/(Rules!$A$2:$A$200&lt;&gt;""),Rules!$B$2:$B$200),"Uncategorized"))</f>
        <v/>
      </c>
      <c r="E997" s="3" t="str">
        <f aca="false">IF($B997="","",IF($C997&gt;=0,"Income","Expense"))</f>
        <v/>
      </c>
      <c r="F997" s="3" t="str">
        <f aca="false">IF($B997="","",IFERROR(LOOKUP(2^15,SEARCH(Rules!$A$2:$A$200&amp;"",$B997)/(Rules!$A$2:$A$200&lt;&gt;""),Rules!$A$2:$A$200),""))</f>
        <v/>
      </c>
      <c r="G997" s="3" t="str">
        <f aca="false">IF($B997="","",IF(D997="Uncategorized","⚠ Review",IF(IFERROR(LOOKUP(2^15,SEARCH(Rules!$A$2:$A$200&amp;"",$B997)/(Rules!$A$2:$A$200&lt;&gt;""),Rules!$C$2:$C$200),"")&lt;&gt;E997,"⚠ Check sign","OK")))</f>
        <v/>
      </c>
    </row>
    <row r="998" customFormat="false" ht="15" hidden="false" customHeight="false" outlineLevel="0" collapsed="false">
      <c r="A998" s="3"/>
      <c r="B998" s="3"/>
      <c r="C998" s="3"/>
      <c r="D998" s="3" t="str">
        <f aca="false">IF($B998="","",IFERROR(LOOKUP(2^15,SEARCH(Rules!$A$2:$A$200&amp;"",$B998)/(Rules!$A$2:$A$200&lt;&gt;""),Rules!$B$2:$B$200),"Uncategorized"))</f>
        <v/>
      </c>
      <c r="E998" s="3" t="str">
        <f aca="false">IF($B998="","",IF($C998&gt;=0,"Income","Expense"))</f>
        <v/>
      </c>
      <c r="F998" s="3" t="str">
        <f aca="false">IF($B998="","",IFERROR(LOOKUP(2^15,SEARCH(Rules!$A$2:$A$200&amp;"",$B998)/(Rules!$A$2:$A$200&lt;&gt;""),Rules!$A$2:$A$200),""))</f>
        <v/>
      </c>
      <c r="G998" s="3" t="str">
        <f aca="false">IF($B998="","",IF(D998="Uncategorized","⚠ Review",IF(IFERROR(LOOKUP(2^15,SEARCH(Rules!$A$2:$A$200&amp;"",$B998)/(Rules!$A$2:$A$200&lt;&gt;""),Rules!$C$2:$C$200),"")&lt;&gt;E998,"⚠ Check sign","OK")))</f>
        <v/>
      </c>
    </row>
    <row r="999" customFormat="false" ht="15" hidden="false" customHeight="false" outlineLevel="0" collapsed="false">
      <c r="A999" s="3"/>
      <c r="B999" s="3"/>
      <c r="C999" s="3"/>
      <c r="D999" s="3" t="str">
        <f aca="false">IF($B999="","",IFERROR(LOOKUP(2^15,SEARCH(Rules!$A$2:$A$200&amp;"",$B999)/(Rules!$A$2:$A$200&lt;&gt;""),Rules!$B$2:$B$200),"Uncategorized"))</f>
        <v/>
      </c>
      <c r="E999" s="3" t="str">
        <f aca="false">IF($B999="","",IF($C999&gt;=0,"Income","Expense"))</f>
        <v/>
      </c>
      <c r="F999" s="3" t="str">
        <f aca="false">IF($B999="","",IFERROR(LOOKUP(2^15,SEARCH(Rules!$A$2:$A$200&amp;"",$B999)/(Rules!$A$2:$A$200&lt;&gt;""),Rules!$A$2:$A$200),""))</f>
        <v/>
      </c>
      <c r="G999" s="3" t="str">
        <f aca="false">IF($B999="","",IF(D999="Uncategorized","⚠ Review",IF(IFERROR(LOOKUP(2^15,SEARCH(Rules!$A$2:$A$200&amp;"",$B999)/(Rules!$A$2:$A$200&lt;&gt;""),Rules!$C$2:$C$200),"")&lt;&gt;E999,"⚠ Check sign","OK")))</f>
        <v/>
      </c>
    </row>
    <row r="1000" customFormat="false" ht="15" hidden="false" customHeight="false" outlineLevel="0" collapsed="false">
      <c r="A1000" s="3"/>
      <c r="B1000" s="3"/>
      <c r="C1000" s="3"/>
      <c r="D1000" s="3" t="str">
        <f aca="false">IF($B1000="","",IFERROR(LOOKUP(2^15,SEARCH(Rules!$A$2:$A$200&amp;"",$B1000)/(Rules!$A$2:$A$200&lt;&gt;""),Rules!$B$2:$B$200),"Uncategorized"))</f>
        <v/>
      </c>
      <c r="E1000" s="3" t="str">
        <f aca="false">IF($B1000="","",IF($C1000&gt;=0,"Income","Expense"))</f>
        <v/>
      </c>
      <c r="F1000" s="3" t="str">
        <f aca="false">IF($B1000="","",IFERROR(LOOKUP(2^15,SEARCH(Rules!$A$2:$A$200&amp;"",$B1000)/(Rules!$A$2:$A$200&lt;&gt;""),Rules!$A$2:$A$200),""))</f>
        <v/>
      </c>
      <c r="G1000" s="3" t="str">
        <f aca="false">IF($B1000="","",IF(D1000="Uncategorized","⚠ Review",IF(IFERROR(LOOKUP(2^15,SEARCH(Rules!$A$2:$A$200&amp;"",$B1000)/(Rules!$A$2:$A$200&lt;&gt;""),Rules!$C$2:$C$200),"")&lt;&gt;E1000,"⚠ Check sign","OK")))</f>
        <v/>
      </c>
    </row>
    <row r="1001" customFormat="false" ht="15" hidden="false" customHeight="false" outlineLevel="0" collapsed="false">
      <c r="A1001" s="3"/>
      <c r="B1001" s="3"/>
      <c r="C1001" s="3"/>
      <c r="D1001" s="3" t="str">
        <f aca="false">IF($B1001="","",IFERROR(LOOKUP(2^15,SEARCH(Rules!$A$2:$A$200&amp;"",$B1001)/(Rules!$A$2:$A$200&lt;&gt;""),Rules!$B$2:$B$200),"Uncategorized"))</f>
        <v/>
      </c>
      <c r="E1001" s="3" t="str">
        <f aca="false">IF($B1001="","",IF($C1001&gt;=0,"Income","Expense"))</f>
        <v/>
      </c>
      <c r="F1001" s="3" t="str">
        <f aca="false">IF($B1001="","",IFERROR(LOOKUP(2^15,SEARCH(Rules!$A$2:$A$200&amp;"",$B1001)/(Rules!$A$2:$A$200&lt;&gt;""),Rules!$A$2:$A$200),""))</f>
        <v/>
      </c>
      <c r="G1001" s="3" t="str">
        <f aca="false">IF($B1001="","",IF(D1001="Uncategorized","⚠ Review",IF(IFERROR(LOOKUP(2^15,SEARCH(Rules!$A$2:$A$200&amp;"",$B1001)/(Rules!$A$2:$A$200&lt;&gt;""),Rules!$C$2:$C$200),"")&lt;&gt;E1001,"⚠ Check sign","OK")))</f>
        <v/>
      </c>
    </row>
  </sheetData>
  <autoFilter ref="A1:G1001"/>
  <conditionalFormatting sqref="A2:G1001">
    <cfRule type="expression" priority="2" aboveAverage="0" equalAverage="0" bottom="0" percent="0" rank="0" text="" dxfId="5">
      <formula>LEFT($G2,1)="⚠"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62</v>
      </c>
      <c r="B1" s="1" t="s">
        <v>8</v>
      </c>
      <c r="C1" s="1" t="s">
        <v>63</v>
      </c>
      <c r="D1" s="1" t="s">
        <v>64</v>
      </c>
    </row>
    <row r="2" customFormat="false" ht="15" hidden="false" customHeight="false" outlineLevel="0" collapsed="false">
      <c r="A2" s="0" t="s">
        <v>65</v>
      </c>
      <c r="B2" s="0" t="s">
        <v>66</v>
      </c>
      <c r="C2" s="3" t="s">
        <v>67</v>
      </c>
      <c r="D2" s="0" t="s">
        <v>68</v>
      </c>
    </row>
    <row r="3" customFormat="false" ht="15" hidden="false" customHeight="false" outlineLevel="0" collapsed="false">
      <c r="A3" s="0" t="s">
        <v>69</v>
      </c>
      <c r="B3" s="0" t="s">
        <v>70</v>
      </c>
      <c r="C3" s="3" t="s">
        <v>67</v>
      </c>
      <c r="D3" s="0" t="s">
        <v>71</v>
      </c>
    </row>
    <row r="4" customFormat="false" ht="15" hidden="false" customHeight="false" outlineLevel="0" collapsed="false">
      <c r="A4" s="0" t="s">
        <v>72</v>
      </c>
      <c r="B4" s="0" t="s">
        <v>73</v>
      </c>
      <c r="C4" s="3" t="s">
        <v>67</v>
      </c>
      <c r="D4" s="0" t="s">
        <v>74</v>
      </c>
    </row>
    <row r="5" customFormat="false" ht="15" hidden="false" customHeight="false" outlineLevel="0" collapsed="false">
      <c r="A5" s="0" t="s">
        <v>75</v>
      </c>
      <c r="B5" s="0" t="s">
        <v>76</v>
      </c>
      <c r="C5" s="3" t="s">
        <v>67</v>
      </c>
    </row>
    <row r="6" customFormat="false" ht="15" hidden="false" customHeight="false" outlineLevel="0" collapsed="false">
      <c r="A6" s="0" t="s">
        <v>77</v>
      </c>
      <c r="B6" s="0" t="s">
        <v>76</v>
      </c>
      <c r="C6" s="3" t="s">
        <v>67</v>
      </c>
    </row>
    <row r="7" customFormat="false" ht="15" hidden="false" customHeight="false" outlineLevel="0" collapsed="false">
      <c r="A7" s="0" t="s">
        <v>78</v>
      </c>
      <c r="B7" s="0" t="s">
        <v>79</v>
      </c>
      <c r="C7" s="3" t="s">
        <v>67</v>
      </c>
    </row>
    <row r="8" customFormat="false" ht="15" hidden="false" customHeight="false" outlineLevel="0" collapsed="false">
      <c r="A8" s="0" t="s">
        <v>80</v>
      </c>
      <c r="B8" s="0" t="s">
        <v>79</v>
      </c>
      <c r="C8" s="3" t="s">
        <v>67</v>
      </c>
    </row>
    <row r="9" customFormat="false" ht="15" hidden="false" customHeight="false" outlineLevel="0" collapsed="false">
      <c r="A9" s="0" t="s">
        <v>81</v>
      </c>
      <c r="B9" s="0" t="s">
        <v>79</v>
      </c>
      <c r="C9" s="3" t="s">
        <v>67</v>
      </c>
    </row>
    <row r="10" customFormat="false" ht="15" hidden="false" customHeight="false" outlineLevel="0" collapsed="false">
      <c r="A10" s="0" t="s">
        <v>82</v>
      </c>
      <c r="B10" s="0" t="s">
        <v>83</v>
      </c>
      <c r="C10" s="3" t="s">
        <v>67</v>
      </c>
    </row>
    <row r="11" customFormat="false" ht="15" hidden="false" customHeight="false" outlineLevel="0" collapsed="false">
      <c r="A11" s="0" t="s">
        <v>84</v>
      </c>
      <c r="B11" s="0" t="s">
        <v>83</v>
      </c>
      <c r="C11" s="3" t="s">
        <v>67</v>
      </c>
    </row>
    <row r="12" customFormat="false" ht="15" hidden="false" customHeight="false" outlineLevel="0" collapsed="false">
      <c r="A12" s="0" t="s">
        <v>85</v>
      </c>
      <c r="B12" s="0" t="s">
        <v>86</v>
      </c>
      <c r="C12" s="3" t="s">
        <v>67</v>
      </c>
    </row>
    <row r="13" customFormat="false" ht="15" hidden="false" customHeight="false" outlineLevel="0" collapsed="false">
      <c r="A13" s="0" t="s">
        <v>87</v>
      </c>
      <c r="B13" s="0" t="s">
        <v>86</v>
      </c>
      <c r="C13" s="3" t="s">
        <v>67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3" t="s">
        <v>67</v>
      </c>
    </row>
    <row r="15" customFormat="false" ht="15" hidden="false" customHeight="false" outlineLevel="0" collapsed="false">
      <c r="A15" s="0" t="s">
        <v>90</v>
      </c>
      <c r="B15" s="0" t="s">
        <v>89</v>
      </c>
      <c r="C15" s="3" t="s">
        <v>67</v>
      </c>
    </row>
    <row r="16" customFormat="false" ht="15" hidden="false" customHeight="false" outlineLevel="0" collapsed="false">
      <c r="A16" s="0" t="s">
        <v>91</v>
      </c>
      <c r="B16" s="0" t="s">
        <v>92</v>
      </c>
      <c r="C16" s="3" t="s">
        <v>67</v>
      </c>
    </row>
    <row r="17" customFormat="false" ht="15" hidden="false" customHeight="false" outlineLevel="0" collapsed="false">
      <c r="A17" s="0" t="s">
        <v>93</v>
      </c>
      <c r="B17" s="0" t="s">
        <v>92</v>
      </c>
      <c r="C17" s="3" t="s">
        <v>67</v>
      </c>
    </row>
    <row r="18" customFormat="false" ht="15" hidden="false" customHeight="false" outlineLevel="0" collapsed="false">
      <c r="A18" s="0" t="s">
        <v>94</v>
      </c>
      <c r="B18" s="0" t="s">
        <v>92</v>
      </c>
      <c r="C18" s="3" t="s">
        <v>67</v>
      </c>
    </row>
    <row r="19" customFormat="false" ht="15" hidden="false" customHeight="false" outlineLevel="0" collapsed="false">
      <c r="A19" s="0" t="s">
        <v>95</v>
      </c>
      <c r="B19" s="0" t="s">
        <v>96</v>
      </c>
      <c r="C19" s="3" t="s">
        <v>67</v>
      </c>
    </row>
    <row r="20" customFormat="false" ht="15" hidden="false" customHeight="false" outlineLevel="0" collapsed="false">
      <c r="A20" s="0" t="s">
        <v>97</v>
      </c>
      <c r="B20" s="0" t="s">
        <v>96</v>
      </c>
      <c r="C20" s="3" t="s">
        <v>67</v>
      </c>
    </row>
    <row r="21" customFormat="false" ht="15" hidden="false" customHeight="false" outlineLevel="0" collapsed="false">
      <c r="A21" s="0" t="s">
        <v>98</v>
      </c>
      <c r="B21" s="0" t="s">
        <v>99</v>
      </c>
      <c r="C21" s="3" t="s">
        <v>67</v>
      </c>
    </row>
    <row r="22" customFormat="false" ht="15" hidden="false" customHeight="false" outlineLevel="0" collapsed="false">
      <c r="A22" s="0" t="s">
        <v>100</v>
      </c>
      <c r="B22" s="0" t="s">
        <v>101</v>
      </c>
      <c r="C22" s="3" t="s">
        <v>67</v>
      </c>
    </row>
    <row r="23" customFormat="false" ht="15" hidden="false" customHeight="false" outlineLevel="0" collapsed="false">
      <c r="A23" s="0" t="s">
        <v>102</v>
      </c>
      <c r="B23" s="0" t="s">
        <v>103</v>
      </c>
      <c r="C23" s="3" t="s">
        <v>67</v>
      </c>
    </row>
    <row r="24" customFormat="false" ht="15" hidden="false" customHeight="false" outlineLevel="0" collapsed="false">
      <c r="A24" s="0" t="s">
        <v>104</v>
      </c>
      <c r="B24" s="0" t="s">
        <v>103</v>
      </c>
      <c r="C24" s="3" t="s">
        <v>67</v>
      </c>
    </row>
    <row r="25" customFormat="false" ht="15" hidden="false" customHeight="false" outlineLevel="0" collapsed="false">
      <c r="A25" s="0" t="s">
        <v>105</v>
      </c>
      <c r="B25" s="0" t="s">
        <v>106</v>
      </c>
      <c r="C25" s="3" t="s">
        <v>67</v>
      </c>
    </row>
    <row r="26" customFormat="false" ht="15" hidden="false" customHeight="false" outlineLevel="0" collapsed="false">
      <c r="A26" s="0" t="s">
        <v>107</v>
      </c>
      <c r="B26" s="0" t="s">
        <v>108</v>
      </c>
      <c r="C26" s="3" t="s">
        <v>109</v>
      </c>
    </row>
    <row r="27" customFormat="false" ht="15" hidden="false" customHeight="false" outlineLevel="0" collapsed="false">
      <c r="A27" s="0" t="s">
        <v>110</v>
      </c>
      <c r="B27" s="0" t="s">
        <v>111</v>
      </c>
      <c r="C27" s="3" t="s">
        <v>109</v>
      </c>
    </row>
    <row r="28" customFormat="false" ht="15" hidden="false" customHeight="false" outlineLevel="0" collapsed="false">
      <c r="A28" s="0" t="s">
        <v>112</v>
      </c>
      <c r="B28" s="0" t="s">
        <v>113</v>
      </c>
      <c r="C28" s="3" t="s">
        <v>109</v>
      </c>
    </row>
    <row r="29" customFormat="false" ht="15" hidden="false" customHeight="false" outlineLevel="0" collapsed="false">
      <c r="A29" s="0" t="s">
        <v>114</v>
      </c>
      <c r="B29" s="0" t="s">
        <v>115</v>
      </c>
      <c r="C29" s="3" t="s">
        <v>109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3" t="s">
        <v>109</v>
      </c>
    </row>
    <row r="31" customFormat="false" ht="15" hidden="false" customHeight="false" outlineLevel="0" collapsed="false">
      <c r="C31" s="3"/>
    </row>
    <row r="32" customFormat="false" ht="15" hidden="false" customHeight="false" outlineLevel="0" collapsed="false">
      <c r="C32" s="3"/>
    </row>
    <row r="33" customFormat="false" ht="15" hidden="false" customHeight="false" outlineLevel="0" collapsed="false">
      <c r="C33" s="3"/>
    </row>
    <row r="34" customFormat="false" ht="15" hidden="false" customHeight="false" outlineLevel="0" collapsed="false">
      <c r="C34" s="3"/>
    </row>
    <row r="35" customFormat="false" ht="15" hidden="false" customHeight="false" outlineLevel="0" collapsed="false">
      <c r="C35" s="3"/>
    </row>
    <row r="36" customFormat="false" ht="15" hidden="false" customHeight="false" outlineLevel="0" collapsed="false">
      <c r="C36" s="3"/>
    </row>
    <row r="37" customFormat="false" ht="15" hidden="false" customHeight="false" outlineLevel="0" collapsed="false">
      <c r="C37" s="3"/>
    </row>
    <row r="38" customFormat="false" ht="15" hidden="false" customHeight="false" outlineLevel="0" collapsed="false">
      <c r="C38" s="3"/>
    </row>
    <row r="39" customFormat="false" ht="15" hidden="false" customHeight="false" outlineLevel="0" collapsed="false">
      <c r="C39" s="3"/>
    </row>
    <row r="40" customFormat="false" ht="15" hidden="false" customHeight="false" outlineLevel="0" collapsed="false">
      <c r="C40" s="3"/>
    </row>
    <row r="41" customFormat="false" ht="15" hidden="false" customHeight="false" outlineLevel="0" collapsed="false">
      <c r="C41" s="3"/>
    </row>
    <row r="42" customFormat="false" ht="15" hidden="false" customHeight="false" outlineLevel="0" collapsed="false">
      <c r="C42" s="3"/>
    </row>
    <row r="43" customFormat="false" ht="15" hidden="false" customHeight="false" outlineLevel="0" collapsed="false">
      <c r="C43" s="3"/>
    </row>
    <row r="44" customFormat="false" ht="15" hidden="false" customHeight="false" outlineLevel="0" collapsed="false">
      <c r="C44" s="3"/>
    </row>
    <row r="45" customFormat="false" ht="15" hidden="false" customHeight="false" outlineLevel="0" collapsed="false">
      <c r="C45" s="3"/>
    </row>
    <row r="46" customFormat="false" ht="15" hidden="false" customHeight="false" outlineLevel="0" collapsed="false">
      <c r="C46" s="3"/>
    </row>
    <row r="47" customFormat="false" ht="15" hidden="false" customHeight="false" outlineLevel="0" collapsed="false">
      <c r="C47" s="3"/>
    </row>
    <row r="48" customFormat="false" ht="15" hidden="false" customHeight="false" outlineLevel="0" collapsed="false">
      <c r="C48" s="3"/>
    </row>
    <row r="49" customFormat="false" ht="15" hidden="false" customHeight="false" outlineLevel="0" collapsed="false">
      <c r="C49" s="3"/>
    </row>
    <row r="50" customFormat="false" ht="15" hidden="false" customHeight="false" outlineLevel="0" collapsed="false">
      <c r="C50" s="3"/>
    </row>
    <row r="51" customFormat="false" ht="15" hidden="false" customHeight="false" outlineLevel="0" collapsed="false">
      <c r="C51" s="3"/>
    </row>
    <row r="52" customFormat="false" ht="15" hidden="false" customHeight="false" outlineLevel="0" collapsed="false">
      <c r="C52" s="3"/>
    </row>
    <row r="53" customFormat="false" ht="15" hidden="false" customHeight="false" outlineLevel="0" collapsed="false">
      <c r="C53" s="3"/>
    </row>
    <row r="54" customFormat="false" ht="15" hidden="false" customHeight="false" outlineLevel="0" collapsed="false">
      <c r="C54" s="3"/>
    </row>
    <row r="55" customFormat="false" ht="15" hidden="false" customHeight="false" outlineLevel="0" collapsed="false">
      <c r="C55" s="3"/>
    </row>
    <row r="56" customFormat="false" ht="15" hidden="false" customHeight="false" outlineLevel="0" collapsed="false">
      <c r="C56" s="3"/>
    </row>
    <row r="57" customFormat="false" ht="15" hidden="false" customHeight="false" outlineLevel="0" collapsed="false">
      <c r="C57" s="3"/>
    </row>
    <row r="58" customFormat="false" ht="15" hidden="false" customHeight="false" outlineLevel="0" collapsed="false">
      <c r="C58" s="3"/>
    </row>
    <row r="59" customFormat="false" ht="15" hidden="false" customHeight="false" outlineLevel="0" collapsed="false">
      <c r="C59" s="3"/>
    </row>
    <row r="60" customFormat="false" ht="15" hidden="false" customHeight="false" outlineLevel="0" collapsed="false">
      <c r="C60" s="3"/>
    </row>
    <row r="61" customFormat="false" ht="15" hidden="false" customHeight="false" outlineLevel="0" collapsed="false">
      <c r="C61" s="3"/>
    </row>
    <row r="62" customFormat="false" ht="15" hidden="false" customHeight="false" outlineLevel="0" collapsed="false">
      <c r="C62" s="3"/>
    </row>
    <row r="63" customFormat="false" ht="15" hidden="false" customHeight="false" outlineLevel="0" collapsed="false">
      <c r="C63" s="3"/>
    </row>
    <row r="64" customFormat="false" ht="15" hidden="false" customHeight="false" outlineLevel="0" collapsed="false">
      <c r="C64" s="3"/>
    </row>
    <row r="65" customFormat="false" ht="15" hidden="false" customHeight="false" outlineLevel="0" collapsed="false">
      <c r="C65" s="3"/>
    </row>
    <row r="66" customFormat="false" ht="15" hidden="false" customHeight="false" outlineLevel="0" collapsed="false">
      <c r="C66" s="3"/>
    </row>
    <row r="67" customFormat="false" ht="15" hidden="false" customHeight="false" outlineLevel="0" collapsed="false">
      <c r="C67" s="3"/>
    </row>
    <row r="68" customFormat="false" ht="15" hidden="false" customHeight="false" outlineLevel="0" collapsed="false">
      <c r="C68" s="3"/>
    </row>
    <row r="69" customFormat="false" ht="15" hidden="false" customHeight="false" outlineLevel="0" collapsed="false">
      <c r="C69" s="3"/>
    </row>
    <row r="70" customFormat="false" ht="15" hidden="false" customHeight="false" outlineLevel="0" collapsed="false">
      <c r="C70" s="3"/>
    </row>
    <row r="71" customFormat="false" ht="15" hidden="false" customHeight="false" outlineLevel="0" collapsed="false">
      <c r="C71" s="3"/>
    </row>
    <row r="72" customFormat="false" ht="15" hidden="false" customHeight="false" outlineLevel="0" collapsed="false">
      <c r="C72" s="3"/>
    </row>
    <row r="73" customFormat="false" ht="15" hidden="false" customHeight="false" outlineLevel="0" collapsed="false">
      <c r="C73" s="3"/>
    </row>
    <row r="74" customFormat="false" ht="15" hidden="false" customHeight="false" outlineLevel="0" collapsed="false">
      <c r="C74" s="3"/>
    </row>
    <row r="75" customFormat="false" ht="15" hidden="false" customHeight="false" outlineLevel="0" collapsed="false">
      <c r="C75" s="3"/>
    </row>
    <row r="76" customFormat="false" ht="15" hidden="false" customHeight="false" outlineLevel="0" collapsed="false">
      <c r="C76" s="3"/>
    </row>
    <row r="77" customFormat="false" ht="15" hidden="false" customHeight="false" outlineLevel="0" collapsed="false">
      <c r="C77" s="3"/>
    </row>
    <row r="78" customFormat="false" ht="15" hidden="false" customHeight="false" outlineLevel="0" collapsed="false">
      <c r="C78" s="3"/>
    </row>
    <row r="79" customFormat="false" ht="15" hidden="false" customHeight="false" outlineLevel="0" collapsed="false">
      <c r="C79" s="3"/>
    </row>
    <row r="80" customFormat="false" ht="15" hidden="false" customHeight="false" outlineLevel="0" collapsed="false">
      <c r="C80" s="3"/>
    </row>
    <row r="81" customFormat="false" ht="15" hidden="false" customHeight="false" outlineLevel="0" collapsed="false">
      <c r="C81" s="3"/>
    </row>
    <row r="82" customFormat="false" ht="15" hidden="false" customHeight="false" outlineLevel="0" collapsed="false">
      <c r="C82" s="3"/>
    </row>
    <row r="83" customFormat="false" ht="15" hidden="false" customHeight="false" outlineLevel="0" collapsed="false">
      <c r="C83" s="3"/>
    </row>
    <row r="84" customFormat="false" ht="15" hidden="false" customHeight="false" outlineLevel="0" collapsed="false">
      <c r="C84" s="3"/>
    </row>
    <row r="85" customFormat="false" ht="15" hidden="false" customHeight="false" outlineLevel="0" collapsed="false">
      <c r="C85" s="3"/>
    </row>
    <row r="86" customFormat="false" ht="15" hidden="false" customHeight="false" outlineLevel="0" collapsed="false">
      <c r="C86" s="3"/>
    </row>
    <row r="87" customFormat="false" ht="15" hidden="false" customHeight="false" outlineLevel="0" collapsed="false">
      <c r="C87" s="3"/>
    </row>
    <row r="88" customFormat="false" ht="15" hidden="false" customHeight="false" outlineLevel="0" collapsed="false">
      <c r="C88" s="3"/>
    </row>
    <row r="89" customFormat="false" ht="15" hidden="false" customHeight="false" outlineLevel="0" collapsed="false">
      <c r="C89" s="3"/>
    </row>
    <row r="90" customFormat="false" ht="15" hidden="false" customHeight="false" outlineLevel="0" collapsed="false">
      <c r="C90" s="3"/>
    </row>
    <row r="91" customFormat="false" ht="15" hidden="false" customHeight="false" outlineLevel="0" collapsed="false">
      <c r="C91" s="3"/>
    </row>
    <row r="92" customFormat="false" ht="15" hidden="false" customHeight="false" outlineLevel="0" collapsed="false">
      <c r="C92" s="3"/>
    </row>
    <row r="93" customFormat="false" ht="15" hidden="false" customHeight="false" outlineLevel="0" collapsed="false">
      <c r="C93" s="3"/>
    </row>
    <row r="94" customFormat="false" ht="15" hidden="false" customHeight="false" outlineLevel="0" collapsed="false">
      <c r="C94" s="3"/>
    </row>
    <row r="95" customFormat="false" ht="15" hidden="false" customHeight="false" outlineLevel="0" collapsed="false">
      <c r="C95" s="3"/>
    </row>
    <row r="96" customFormat="false" ht="15" hidden="false" customHeight="false" outlineLevel="0" collapsed="false">
      <c r="C96" s="3"/>
    </row>
    <row r="97" customFormat="false" ht="15" hidden="false" customHeight="false" outlineLevel="0" collapsed="false">
      <c r="C97" s="3"/>
    </row>
    <row r="98" customFormat="false" ht="15" hidden="false" customHeight="false" outlineLevel="0" collapsed="false">
      <c r="C98" s="3"/>
    </row>
    <row r="99" customFormat="false" ht="15" hidden="false" customHeight="false" outlineLevel="0" collapsed="false">
      <c r="C99" s="3"/>
    </row>
    <row r="100" customFormat="false" ht="15" hidden="false" customHeight="false" outlineLevel="0" collapsed="false">
      <c r="C100" s="3"/>
    </row>
    <row r="101" customFormat="false" ht="15" hidden="false" customHeight="false" outlineLevel="0" collapsed="false">
      <c r="C101" s="3"/>
    </row>
    <row r="102" customFormat="false" ht="15" hidden="false" customHeight="false" outlineLevel="0" collapsed="false">
      <c r="C102" s="3"/>
    </row>
    <row r="103" customFormat="false" ht="15" hidden="false" customHeight="false" outlineLevel="0" collapsed="false">
      <c r="C103" s="3"/>
    </row>
    <row r="104" customFormat="false" ht="15" hidden="false" customHeight="false" outlineLevel="0" collapsed="false">
      <c r="C104" s="3"/>
    </row>
    <row r="105" customFormat="false" ht="15" hidden="false" customHeight="false" outlineLevel="0" collapsed="false">
      <c r="C105" s="3"/>
    </row>
    <row r="106" customFormat="false" ht="15" hidden="false" customHeight="false" outlineLevel="0" collapsed="false">
      <c r="C106" s="3"/>
    </row>
    <row r="107" customFormat="false" ht="15" hidden="false" customHeight="false" outlineLevel="0" collapsed="false">
      <c r="C107" s="3"/>
    </row>
    <row r="108" customFormat="false" ht="15" hidden="false" customHeight="false" outlineLevel="0" collapsed="false">
      <c r="C108" s="3"/>
    </row>
    <row r="109" customFormat="false" ht="15" hidden="false" customHeight="false" outlineLevel="0" collapsed="false">
      <c r="C109" s="3"/>
    </row>
    <row r="110" customFormat="false" ht="15" hidden="false" customHeight="false" outlineLevel="0" collapsed="false">
      <c r="C110" s="3"/>
    </row>
    <row r="111" customFormat="false" ht="15" hidden="false" customHeight="false" outlineLevel="0" collapsed="false">
      <c r="C111" s="3"/>
    </row>
    <row r="112" customFormat="false" ht="15" hidden="false" customHeight="false" outlineLevel="0" collapsed="false">
      <c r="C112" s="3"/>
    </row>
    <row r="113" customFormat="false" ht="15" hidden="false" customHeight="false" outlineLevel="0" collapsed="false">
      <c r="C113" s="3"/>
    </row>
    <row r="114" customFormat="false" ht="15" hidden="false" customHeight="false" outlineLevel="0" collapsed="false">
      <c r="C114" s="3"/>
    </row>
    <row r="115" customFormat="false" ht="15" hidden="false" customHeight="false" outlineLevel="0" collapsed="false">
      <c r="C115" s="3"/>
    </row>
    <row r="116" customFormat="false" ht="15" hidden="false" customHeight="false" outlineLevel="0" collapsed="false">
      <c r="C116" s="3"/>
    </row>
    <row r="117" customFormat="false" ht="15" hidden="false" customHeight="false" outlineLevel="0" collapsed="false">
      <c r="C117" s="3"/>
    </row>
    <row r="118" customFormat="false" ht="15" hidden="false" customHeight="false" outlineLevel="0" collapsed="false">
      <c r="C118" s="3"/>
    </row>
    <row r="119" customFormat="false" ht="15" hidden="false" customHeight="false" outlineLevel="0" collapsed="false">
      <c r="C119" s="3"/>
    </row>
    <row r="120" customFormat="false" ht="15" hidden="false" customHeight="false" outlineLevel="0" collapsed="false">
      <c r="C120" s="3"/>
    </row>
    <row r="121" customFormat="false" ht="15" hidden="false" customHeight="false" outlineLevel="0" collapsed="false">
      <c r="C121" s="3"/>
    </row>
    <row r="122" customFormat="false" ht="15" hidden="false" customHeight="false" outlineLevel="0" collapsed="false">
      <c r="C122" s="3"/>
    </row>
    <row r="123" customFormat="false" ht="15" hidden="false" customHeight="false" outlineLevel="0" collapsed="false">
      <c r="C123" s="3"/>
    </row>
    <row r="124" customFormat="false" ht="15" hidden="false" customHeight="false" outlineLevel="0" collapsed="false">
      <c r="C124" s="3"/>
    </row>
    <row r="125" customFormat="false" ht="15" hidden="false" customHeight="false" outlineLevel="0" collapsed="false">
      <c r="C125" s="3"/>
    </row>
    <row r="126" customFormat="false" ht="15" hidden="false" customHeight="false" outlineLevel="0" collapsed="false">
      <c r="C126" s="3"/>
    </row>
    <row r="127" customFormat="false" ht="15" hidden="false" customHeight="false" outlineLevel="0" collapsed="false">
      <c r="C127" s="3"/>
    </row>
    <row r="128" customFormat="false" ht="15" hidden="false" customHeight="false" outlineLevel="0" collapsed="false">
      <c r="C128" s="3"/>
    </row>
    <row r="129" customFormat="false" ht="15" hidden="false" customHeight="false" outlineLevel="0" collapsed="false">
      <c r="C129" s="3"/>
    </row>
    <row r="130" customFormat="false" ht="15" hidden="false" customHeight="false" outlineLevel="0" collapsed="false">
      <c r="C130" s="3"/>
    </row>
    <row r="131" customFormat="false" ht="15" hidden="false" customHeight="false" outlineLevel="0" collapsed="false">
      <c r="C131" s="3"/>
    </row>
    <row r="132" customFormat="false" ht="15" hidden="false" customHeight="false" outlineLevel="0" collapsed="false">
      <c r="C132" s="3"/>
    </row>
    <row r="133" customFormat="false" ht="15" hidden="false" customHeight="false" outlineLevel="0" collapsed="false">
      <c r="C133" s="3"/>
    </row>
    <row r="134" customFormat="false" ht="15" hidden="false" customHeight="false" outlineLevel="0" collapsed="false">
      <c r="C134" s="3"/>
    </row>
    <row r="135" customFormat="false" ht="15" hidden="false" customHeight="false" outlineLevel="0" collapsed="false">
      <c r="C135" s="3"/>
    </row>
    <row r="136" customFormat="false" ht="15" hidden="false" customHeight="false" outlineLevel="0" collapsed="false">
      <c r="C136" s="3"/>
    </row>
    <row r="137" customFormat="false" ht="15" hidden="false" customHeight="false" outlineLevel="0" collapsed="false">
      <c r="C137" s="3"/>
    </row>
    <row r="138" customFormat="false" ht="15" hidden="false" customHeight="false" outlineLevel="0" collapsed="false">
      <c r="C138" s="3"/>
    </row>
    <row r="139" customFormat="false" ht="15" hidden="false" customHeight="false" outlineLevel="0" collapsed="false">
      <c r="C139" s="3"/>
    </row>
    <row r="140" customFormat="false" ht="15" hidden="false" customHeight="false" outlineLevel="0" collapsed="false">
      <c r="C140" s="3"/>
    </row>
    <row r="141" customFormat="false" ht="15" hidden="false" customHeight="false" outlineLevel="0" collapsed="false">
      <c r="C141" s="3"/>
    </row>
    <row r="142" customFormat="false" ht="15" hidden="false" customHeight="false" outlineLevel="0" collapsed="false">
      <c r="C142" s="3"/>
    </row>
    <row r="143" customFormat="false" ht="15" hidden="false" customHeight="false" outlineLevel="0" collapsed="false">
      <c r="C143" s="3"/>
    </row>
    <row r="144" customFormat="false" ht="15" hidden="false" customHeight="false" outlineLevel="0" collapsed="false">
      <c r="C144" s="3"/>
    </row>
    <row r="145" customFormat="false" ht="15" hidden="false" customHeight="false" outlineLevel="0" collapsed="false">
      <c r="C145" s="3"/>
    </row>
    <row r="146" customFormat="false" ht="15" hidden="false" customHeight="false" outlineLevel="0" collapsed="false">
      <c r="C146" s="3"/>
    </row>
    <row r="147" customFormat="false" ht="15" hidden="false" customHeight="false" outlineLevel="0" collapsed="false">
      <c r="C147" s="3"/>
    </row>
    <row r="148" customFormat="false" ht="15" hidden="false" customHeight="false" outlineLevel="0" collapsed="false">
      <c r="C148" s="3"/>
    </row>
    <row r="149" customFormat="false" ht="15" hidden="false" customHeight="false" outlineLevel="0" collapsed="false">
      <c r="C149" s="3"/>
    </row>
    <row r="150" customFormat="false" ht="15" hidden="false" customHeight="false" outlineLevel="0" collapsed="false">
      <c r="C150" s="3"/>
    </row>
    <row r="151" customFormat="false" ht="15" hidden="false" customHeight="false" outlineLevel="0" collapsed="false">
      <c r="C151" s="3"/>
    </row>
    <row r="152" customFormat="false" ht="15" hidden="false" customHeight="false" outlineLevel="0" collapsed="false">
      <c r="C152" s="3"/>
    </row>
    <row r="153" customFormat="false" ht="15" hidden="false" customHeight="false" outlineLevel="0" collapsed="false">
      <c r="C153" s="3"/>
    </row>
    <row r="154" customFormat="false" ht="15" hidden="false" customHeight="false" outlineLevel="0" collapsed="false">
      <c r="C154" s="3"/>
    </row>
    <row r="155" customFormat="false" ht="15" hidden="false" customHeight="false" outlineLevel="0" collapsed="false">
      <c r="C155" s="3"/>
    </row>
    <row r="156" customFormat="false" ht="15" hidden="false" customHeight="false" outlineLevel="0" collapsed="false">
      <c r="C156" s="3"/>
    </row>
    <row r="157" customFormat="false" ht="15" hidden="false" customHeight="false" outlineLevel="0" collapsed="false">
      <c r="C157" s="3"/>
    </row>
    <row r="158" customFormat="false" ht="15" hidden="false" customHeight="false" outlineLevel="0" collapsed="false">
      <c r="C158" s="3"/>
    </row>
    <row r="159" customFormat="false" ht="15" hidden="false" customHeight="false" outlineLevel="0" collapsed="false">
      <c r="C159" s="3"/>
    </row>
    <row r="160" customFormat="false" ht="15" hidden="false" customHeight="false" outlineLevel="0" collapsed="false">
      <c r="C160" s="3"/>
    </row>
    <row r="161" customFormat="false" ht="15" hidden="false" customHeight="false" outlineLevel="0" collapsed="false">
      <c r="C161" s="3"/>
    </row>
    <row r="162" customFormat="false" ht="15" hidden="false" customHeight="false" outlineLevel="0" collapsed="false">
      <c r="C162" s="3"/>
    </row>
    <row r="163" customFormat="false" ht="15" hidden="false" customHeight="false" outlineLevel="0" collapsed="false">
      <c r="C163" s="3"/>
    </row>
    <row r="164" customFormat="false" ht="15" hidden="false" customHeight="false" outlineLevel="0" collapsed="false">
      <c r="C164" s="3"/>
    </row>
    <row r="165" customFormat="false" ht="15" hidden="false" customHeight="false" outlineLevel="0" collapsed="false">
      <c r="C165" s="3"/>
    </row>
    <row r="166" customFormat="false" ht="15" hidden="false" customHeight="false" outlineLevel="0" collapsed="false">
      <c r="C166" s="3"/>
    </row>
    <row r="167" customFormat="false" ht="15" hidden="false" customHeight="false" outlineLevel="0" collapsed="false">
      <c r="C167" s="3"/>
    </row>
    <row r="168" customFormat="false" ht="15" hidden="false" customHeight="false" outlineLevel="0" collapsed="false">
      <c r="C168" s="3"/>
    </row>
    <row r="169" customFormat="false" ht="15" hidden="false" customHeight="false" outlineLevel="0" collapsed="false">
      <c r="C169" s="3"/>
    </row>
    <row r="170" customFormat="false" ht="15" hidden="false" customHeight="false" outlineLevel="0" collapsed="false">
      <c r="C170" s="3"/>
    </row>
    <row r="171" customFormat="false" ht="15" hidden="false" customHeight="false" outlineLevel="0" collapsed="false">
      <c r="C171" s="3"/>
    </row>
    <row r="172" customFormat="false" ht="15" hidden="false" customHeight="false" outlineLevel="0" collapsed="false">
      <c r="C172" s="3"/>
    </row>
    <row r="173" customFormat="false" ht="15" hidden="false" customHeight="false" outlineLevel="0" collapsed="false">
      <c r="C173" s="3"/>
    </row>
    <row r="174" customFormat="false" ht="15" hidden="false" customHeight="false" outlineLevel="0" collapsed="false">
      <c r="C174" s="3"/>
    </row>
    <row r="175" customFormat="false" ht="15" hidden="false" customHeight="false" outlineLevel="0" collapsed="false">
      <c r="C175" s="3"/>
    </row>
    <row r="176" customFormat="false" ht="15" hidden="false" customHeight="false" outlineLevel="0" collapsed="false">
      <c r="C176" s="3"/>
    </row>
    <row r="177" customFormat="false" ht="15" hidden="false" customHeight="false" outlineLevel="0" collapsed="false">
      <c r="C177" s="3"/>
    </row>
    <row r="178" customFormat="false" ht="15" hidden="false" customHeight="false" outlineLevel="0" collapsed="false">
      <c r="C178" s="3"/>
    </row>
    <row r="179" customFormat="false" ht="15" hidden="false" customHeight="false" outlineLevel="0" collapsed="false">
      <c r="C179" s="3"/>
    </row>
    <row r="180" customFormat="false" ht="15" hidden="false" customHeight="false" outlineLevel="0" collapsed="false">
      <c r="C180" s="3"/>
    </row>
    <row r="181" customFormat="false" ht="15" hidden="false" customHeight="false" outlineLevel="0" collapsed="false">
      <c r="C181" s="3"/>
    </row>
    <row r="182" customFormat="false" ht="15" hidden="false" customHeight="false" outlineLevel="0" collapsed="false">
      <c r="C182" s="3"/>
    </row>
    <row r="183" customFormat="false" ht="15" hidden="false" customHeight="false" outlineLevel="0" collapsed="false">
      <c r="C183" s="3"/>
    </row>
    <row r="184" customFormat="false" ht="15" hidden="false" customHeight="false" outlineLevel="0" collapsed="false">
      <c r="C184" s="3"/>
    </row>
    <row r="185" customFormat="false" ht="15" hidden="false" customHeight="false" outlineLevel="0" collapsed="false">
      <c r="C185" s="3"/>
    </row>
    <row r="186" customFormat="false" ht="15" hidden="false" customHeight="false" outlineLevel="0" collapsed="false">
      <c r="C186" s="3"/>
    </row>
    <row r="187" customFormat="false" ht="15" hidden="false" customHeight="false" outlineLevel="0" collapsed="false">
      <c r="C187" s="3"/>
    </row>
    <row r="188" customFormat="false" ht="15" hidden="false" customHeight="false" outlineLevel="0" collapsed="false">
      <c r="C188" s="3"/>
    </row>
    <row r="189" customFormat="false" ht="15" hidden="false" customHeight="false" outlineLevel="0" collapsed="false">
      <c r="C189" s="3"/>
    </row>
    <row r="190" customFormat="false" ht="15" hidden="false" customHeight="false" outlineLevel="0" collapsed="false">
      <c r="C190" s="3"/>
    </row>
    <row r="191" customFormat="false" ht="15" hidden="false" customHeight="false" outlineLevel="0" collapsed="false">
      <c r="C191" s="3"/>
    </row>
    <row r="192" customFormat="false" ht="15" hidden="false" customHeight="false" outlineLevel="0" collapsed="false">
      <c r="C192" s="3"/>
    </row>
    <row r="193" customFormat="false" ht="15" hidden="false" customHeight="false" outlineLevel="0" collapsed="false">
      <c r="C193" s="3"/>
    </row>
    <row r="194" customFormat="false" ht="15" hidden="false" customHeight="false" outlineLevel="0" collapsed="false">
      <c r="C194" s="3"/>
    </row>
    <row r="195" customFormat="false" ht="15" hidden="false" customHeight="false" outlineLevel="0" collapsed="false">
      <c r="C195" s="3"/>
    </row>
    <row r="196" customFormat="false" ht="15" hidden="false" customHeight="false" outlineLevel="0" collapsed="false">
      <c r="C196" s="3"/>
    </row>
    <row r="197" customFormat="false" ht="15" hidden="false" customHeight="false" outlineLevel="0" collapsed="false">
      <c r="C197" s="3"/>
    </row>
    <row r="198" customFormat="false" ht="15" hidden="false" customHeight="false" outlineLevel="0" collapsed="false">
      <c r="C198" s="3"/>
    </row>
    <row r="199" customFormat="false" ht="15" hidden="false" customHeight="false" outlineLevel="0" collapsed="false">
      <c r="C199" s="3"/>
    </row>
    <row r="200" customFormat="false" ht="15" hidden="false" customHeight="false" outlineLevel="0" collapsed="false">
      <c r="C200" s="3"/>
    </row>
  </sheetData>
  <dataValidations count="1">
    <dataValidation allowBlank="true" errorStyle="stop" operator="between" showDropDown="false" showErrorMessage="false" showInputMessage="false" sqref="C2:C200" type="list">
      <formula1>"Income,Expense"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8</v>
      </c>
      <c r="B1" s="1" t="s">
        <v>118</v>
      </c>
      <c r="C1" s="1" t="s">
        <v>119</v>
      </c>
    </row>
    <row r="2" customFormat="false" ht="15" hidden="false" customHeight="false" outlineLevel="0" collapsed="false">
      <c r="A2" s="0" t="s">
        <v>70</v>
      </c>
      <c r="B2" s="4" t="n">
        <f aca="false">SUMIFS(Transactions!$C:$C,Transactions!$D:$D,A2)</f>
        <v>0</v>
      </c>
      <c r="C2" s="0" t="n">
        <f aca="false">COUNTIFS(Transactions!$D:$D,A2)</f>
        <v>0</v>
      </c>
    </row>
    <row r="3" customFormat="false" ht="15" hidden="false" customHeight="false" outlineLevel="0" collapsed="false">
      <c r="A3" s="0" t="s">
        <v>73</v>
      </c>
      <c r="B3" s="4" t="n">
        <f aca="false">SUMIFS(Transactions!$C:$C,Transactions!$D:$D,A3)</f>
        <v>-9006</v>
      </c>
      <c r="C3" s="0" t="n">
        <f aca="false">COUNTIFS(Transactions!$D:$D,A3)</f>
        <v>3</v>
      </c>
    </row>
    <row r="4" customFormat="false" ht="15" hidden="false" customHeight="false" outlineLevel="0" collapsed="false">
      <c r="A4" s="0" t="s">
        <v>108</v>
      </c>
      <c r="B4" s="4" t="n">
        <f aca="false">SUMIFS(Transactions!$C:$C,Transactions!$D:$D,A4)</f>
        <v>0</v>
      </c>
      <c r="C4" s="0" t="n">
        <f aca="false">COUNTIFS(Transactions!$D:$D,A4)</f>
        <v>0</v>
      </c>
    </row>
    <row r="5" customFormat="false" ht="15" hidden="false" customHeight="false" outlineLevel="0" collapsed="false">
      <c r="A5" s="0" t="s">
        <v>99</v>
      </c>
      <c r="B5" s="4" t="n">
        <f aca="false">SUMIFS(Transactions!$C:$C,Transactions!$D:$D,A5)</f>
        <v>-2178</v>
      </c>
      <c r="C5" s="0" t="n">
        <f aca="false">COUNTIFS(Transactions!$D:$D,A5)</f>
        <v>2</v>
      </c>
    </row>
    <row r="6" customFormat="false" ht="15" hidden="false" customHeight="false" outlineLevel="0" collapsed="false">
      <c r="A6" s="0" t="s">
        <v>76</v>
      </c>
      <c r="B6" s="4" t="n">
        <f aca="false">SUMIFS(Transactions!$C:$C,Transactions!$D:$D,A6)</f>
        <v>-3117</v>
      </c>
      <c r="C6" s="0" t="n">
        <f aca="false">COUNTIFS(Transactions!$D:$D,A6)</f>
        <v>9</v>
      </c>
    </row>
    <row r="7" customFormat="false" ht="15" hidden="false" customHeight="false" outlineLevel="0" collapsed="false">
      <c r="A7" s="0" t="s">
        <v>117</v>
      </c>
      <c r="B7" s="4" t="n">
        <f aca="false">SUMIFS(Transactions!$C:$C,Transactions!$D:$D,A7)</f>
        <v>2643</v>
      </c>
      <c r="C7" s="0" t="n">
        <f aca="false">COUNTIFS(Transactions!$D:$D,A7)</f>
        <v>1</v>
      </c>
    </row>
    <row r="8" customFormat="false" ht="15" hidden="false" customHeight="false" outlineLevel="0" collapsed="false">
      <c r="A8" s="0" t="s">
        <v>79</v>
      </c>
      <c r="B8" s="4" t="n">
        <f aca="false">SUMIFS(Transactions!$C:$C,Transactions!$D:$D,A8)</f>
        <v>-7701</v>
      </c>
      <c r="C8" s="0" t="n">
        <f aca="false">COUNTIFS(Transactions!$D:$D,A8)</f>
        <v>6</v>
      </c>
    </row>
    <row r="9" customFormat="false" ht="15" hidden="false" customHeight="false" outlineLevel="0" collapsed="false">
      <c r="A9" s="0" t="s">
        <v>106</v>
      </c>
      <c r="B9" s="4" t="n">
        <f aca="false">SUMIFS(Transactions!$C:$C,Transactions!$D:$D,A9)</f>
        <v>-1198</v>
      </c>
      <c r="C9" s="0" t="n">
        <f aca="false">COUNTIFS(Transactions!$D:$D,A9)</f>
        <v>3</v>
      </c>
    </row>
    <row r="10" customFormat="false" ht="15" hidden="false" customHeight="false" outlineLevel="0" collapsed="false">
      <c r="A10" s="0" t="s">
        <v>113</v>
      </c>
      <c r="B10" s="4" t="n">
        <f aca="false">SUMIFS(Transactions!$C:$C,Transactions!$D:$D,A10)</f>
        <v>631</v>
      </c>
      <c r="C10" s="0" t="n">
        <f aca="false">COUNTIFS(Transactions!$D:$D,A10)</f>
        <v>5</v>
      </c>
    </row>
    <row r="11" customFormat="false" ht="15" hidden="false" customHeight="false" outlineLevel="0" collapsed="false">
      <c r="A11" s="0" t="s">
        <v>103</v>
      </c>
      <c r="B11" s="4" t="n">
        <f aca="false">SUMIFS(Transactions!$C:$C,Transactions!$D:$D,A11)</f>
        <v>-15000</v>
      </c>
      <c r="C11" s="0" t="n">
        <f aca="false">COUNTIFS(Transactions!$D:$D,A11)</f>
        <v>3</v>
      </c>
    </row>
    <row r="12" customFormat="false" ht="15" hidden="false" customHeight="false" outlineLevel="0" collapsed="false">
      <c r="A12" s="0" t="s">
        <v>96</v>
      </c>
      <c r="B12" s="4" t="n">
        <f aca="false">SUMIFS(Transactions!$C:$C,Transactions!$D:$D,A12)</f>
        <v>-299</v>
      </c>
      <c r="C12" s="0" t="n">
        <f aca="false">COUNTIFS(Transactions!$D:$D,A12)</f>
        <v>1</v>
      </c>
    </row>
    <row r="13" customFormat="false" ht="15" hidden="false" customHeight="false" outlineLevel="0" collapsed="false">
      <c r="A13" s="0" t="s">
        <v>115</v>
      </c>
      <c r="B13" s="4" t="n">
        <f aca="false">SUMIFS(Transactions!$C:$C,Transactions!$D:$D,A13)</f>
        <v>2064</v>
      </c>
      <c r="C13" s="0" t="n">
        <f aca="false">COUNTIFS(Transactions!$D:$D,A13)</f>
        <v>2</v>
      </c>
    </row>
    <row r="14" customFormat="false" ht="15" hidden="false" customHeight="false" outlineLevel="0" collapsed="false">
      <c r="A14" s="0" t="s">
        <v>101</v>
      </c>
      <c r="B14" s="4" t="n">
        <f aca="false">SUMIFS(Transactions!$C:$C,Transactions!$D:$D,A14)</f>
        <v>-45000</v>
      </c>
      <c r="C14" s="0" t="n">
        <f aca="false">COUNTIFS(Transactions!$D:$D,A14)</f>
        <v>3</v>
      </c>
    </row>
    <row r="15" customFormat="false" ht="15" hidden="false" customHeight="false" outlineLevel="0" collapsed="false">
      <c r="A15" s="0" t="s">
        <v>111</v>
      </c>
      <c r="B15" s="4" t="n">
        <f aca="false">SUMIFS(Transactions!$C:$C,Transactions!$D:$D,A15)</f>
        <v>195000</v>
      </c>
      <c r="C15" s="0" t="n">
        <f aca="false">COUNTIFS(Transactions!$D:$D,A15)</f>
        <v>3</v>
      </c>
    </row>
    <row r="16" customFormat="false" ht="15" hidden="false" customHeight="false" outlineLevel="0" collapsed="false">
      <c r="A16" s="0" t="s">
        <v>83</v>
      </c>
      <c r="B16" s="4" t="n">
        <f aca="false">SUMIFS(Transactions!$C:$C,Transactions!$D:$D,A16)</f>
        <v>-21586</v>
      </c>
      <c r="C16" s="0" t="n">
        <f aca="false">COUNTIFS(Transactions!$D:$D,A16)</f>
        <v>5</v>
      </c>
    </row>
    <row r="17" customFormat="false" ht="15" hidden="false" customHeight="false" outlineLevel="0" collapsed="false">
      <c r="A17" s="0" t="s">
        <v>92</v>
      </c>
      <c r="B17" s="4" t="n">
        <f aca="false">SUMIFS(Transactions!$C:$C,Transactions!$D:$D,A17)</f>
        <v>-556</v>
      </c>
      <c r="C17" s="0" t="n">
        <f aca="false">COUNTIFS(Transactions!$D:$D,A17)</f>
        <v>4</v>
      </c>
    </row>
    <row r="18" customFormat="false" ht="15" hidden="false" customHeight="false" outlineLevel="0" collapsed="false">
      <c r="A18" s="0" t="s">
        <v>66</v>
      </c>
      <c r="B18" s="4" t="n">
        <f aca="false">SUMIFS(Transactions!$C:$C,Transactions!$D:$D,A18)</f>
        <v>-2519</v>
      </c>
      <c r="C18" s="0" t="n">
        <f aca="false">COUNTIFS(Transactions!$D:$D,A18)</f>
        <v>2</v>
      </c>
    </row>
    <row r="19" customFormat="false" ht="15" hidden="false" customHeight="false" outlineLevel="0" collapsed="false">
      <c r="A19" s="0" t="s">
        <v>86</v>
      </c>
      <c r="B19" s="4" t="n">
        <f aca="false">SUMIFS(Transactions!$C:$C,Transactions!$D:$D,A19)</f>
        <v>-648</v>
      </c>
      <c r="C19" s="0" t="n">
        <f aca="false">COUNTIFS(Transactions!$D:$D,A19)</f>
        <v>2</v>
      </c>
    </row>
    <row r="20" customFormat="false" ht="15" hidden="false" customHeight="false" outlineLevel="0" collapsed="false">
      <c r="A20" s="0" t="s">
        <v>89</v>
      </c>
      <c r="B20" s="4" t="n">
        <f aca="false">SUMIFS(Transactions!$C:$C,Transactions!$D:$D,A20)</f>
        <v>-3481</v>
      </c>
      <c r="C20" s="0" t="n">
        <f aca="false">COUNTIFS(Transactions!$D:$D,A20)</f>
        <v>3</v>
      </c>
    </row>
    <row r="21" customFormat="false" ht="15" hidden="false" customHeight="false" outlineLevel="0" collapsed="false">
      <c r="A21" s="0" t="s">
        <v>120</v>
      </c>
      <c r="B21" s="4" t="n">
        <f aca="false">SUMIFS(Transactions!$C:$C,Transactions!$D:$D,A21)</f>
        <v>6396</v>
      </c>
      <c r="C21" s="0" t="n">
        <f aca="false">COUNTIFS(Transactions!$D:$D,A21)</f>
        <v>3</v>
      </c>
    </row>
    <row r="23" customFormat="false" ht="15" hidden="false" customHeight="false" outlineLevel="0" collapsed="false">
      <c r="A23" s="5" t="s">
        <v>121</v>
      </c>
      <c r="B23" s="6" t="n">
        <f aca="false">SUMIFS(Transactions!$C:$C,Transactions!$C:$C,"&gt;0")</f>
        <v>206734</v>
      </c>
    </row>
    <row r="24" customFormat="false" ht="15" hidden="false" customHeight="false" outlineLevel="0" collapsed="false">
      <c r="A24" s="5" t="s">
        <v>122</v>
      </c>
      <c r="B24" s="4" t="n">
        <f aca="false">SUMIFS(Transactions!$C:$C,Transactions!$C:$C,"&lt;0")</f>
        <v>-112289</v>
      </c>
    </row>
    <row r="25" customFormat="false" ht="15" hidden="false" customHeight="false" outlineLevel="0" collapsed="false">
      <c r="A25" s="5" t="s">
        <v>123</v>
      </c>
      <c r="B25" s="0" t="n">
        <f aca="false">COUNTIF(Transactions!$G:$G,"⚠*")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2026-10-21T16:04:37Z</dcterms:created>
  <dc:creator>openpyxl</dc:creator>
  <dc:description/>
  <dc:language>en-US</dc:language>
  <cp:lastModifiedBy/>
  <dcterms:modified xsi:type="dcterms:W3CDTF">2026-10-21T16:04:37Z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